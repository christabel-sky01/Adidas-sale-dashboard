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6.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hioma\Downloads\"/>
    </mc:Choice>
  </mc:AlternateContent>
  <xr:revisionPtr revIDLastSave="0" documentId="8_{011502CF-16B2-45B5-9661-EF6B9D380976}" xr6:coauthVersionLast="47" xr6:coauthVersionMax="47" xr10:uidLastSave="{00000000-0000-0000-0000-000000000000}"/>
  <bookViews>
    <workbookView xWindow="-120" yWindow="-120" windowWidth="20730" windowHeight="11040" activeTab="1" xr2:uid="{FD19FF10-DFBF-4B93-AA13-856FACF44522}"/>
  </bookViews>
  <sheets>
    <sheet name="Pivot" sheetId="2" r:id="rId1"/>
    <sheet name="Dashboard" sheetId="3" r:id="rId2"/>
    <sheet name="Data" sheetId="1" r:id="rId3"/>
  </sheets>
  <definedNames>
    <definedName name="Slicer_Year">#N/A</definedName>
  </definedNames>
  <calcPr calcId="191029"/>
  <pivotCaches>
    <pivotCache cacheId="19"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7" i="2" l="1"/>
  <c r="C18" i="2"/>
  <c r="C16"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H21" i="2"/>
  <c r="H16" i="2"/>
  <c r="H20" i="2"/>
  <c r="H17" i="2"/>
  <c r="H18" i="2"/>
  <c r="H19" i="2"/>
  <c r="H15" i="2"/>
  <c r="I15" i="2" l="1"/>
  <c r="I19" i="2"/>
  <c r="I18" i="2"/>
  <c r="I17" i="2"/>
  <c r="I20" i="2"/>
  <c r="I16" i="2"/>
  <c r="I21" i="2"/>
  <c r="F15" i="2"/>
  <c r="F19" i="2"/>
  <c r="F18" i="2"/>
  <c r="F17" i="2"/>
  <c r="F20" i="2"/>
  <c r="F16" i="2"/>
  <c r="F21" i="2"/>
</calcChain>
</file>

<file path=xl/sharedStrings.xml><?xml version="1.0" encoding="utf-8"?>
<sst xmlns="http://schemas.openxmlformats.org/spreadsheetml/2006/main" count="609" uniqueCount="165">
  <si>
    <t>Device Name</t>
  </si>
  <si>
    <t xml:space="preserve">Compliance </t>
  </si>
  <si>
    <t>Violation Type</t>
  </si>
  <si>
    <t>Violation Date</t>
  </si>
  <si>
    <t>City</t>
  </si>
  <si>
    <t>Total Rules</t>
  </si>
  <si>
    <t>Total Violations</t>
  </si>
  <si>
    <t>Active Violations</t>
  </si>
  <si>
    <t>Solved Violations</t>
  </si>
  <si>
    <t>Ignored Violations</t>
  </si>
  <si>
    <t>Solving Time</t>
  </si>
  <si>
    <t>Environment Managed</t>
  </si>
  <si>
    <t>Environment Disabled</t>
  </si>
  <si>
    <t>Device_106</t>
  </si>
  <si>
    <t>Severe Violation</t>
  </si>
  <si>
    <t>Illegal U-turn</t>
  </si>
  <si>
    <t>New York</t>
  </si>
  <si>
    <t>&lt;1 Week</t>
  </si>
  <si>
    <t>Device_107</t>
  </si>
  <si>
    <t>Compliant</t>
  </si>
  <si>
    <t>Seatbelt Violation</t>
  </si>
  <si>
    <t>Tokyo</t>
  </si>
  <si>
    <t>&lt;12 Hours</t>
  </si>
  <si>
    <t>Device_108</t>
  </si>
  <si>
    <t>Light Violation</t>
  </si>
  <si>
    <t>Red Light Violation</t>
  </si>
  <si>
    <t>Paris</t>
  </si>
  <si>
    <t>Device_109</t>
  </si>
  <si>
    <t>Medium Violation</t>
  </si>
  <si>
    <t>Speeding</t>
  </si>
  <si>
    <t>Sydney</t>
  </si>
  <si>
    <t>10 km/h Speed</t>
  </si>
  <si>
    <t>Device_110</t>
  </si>
  <si>
    <t>Mumbai</t>
  </si>
  <si>
    <t>&lt;1 Month</t>
  </si>
  <si>
    <t>Device_111</t>
  </si>
  <si>
    <t>No License</t>
  </si>
  <si>
    <t>Device_112</t>
  </si>
  <si>
    <t>Device_113</t>
  </si>
  <si>
    <t>25 km/h Speed</t>
  </si>
  <si>
    <t>Device_114</t>
  </si>
  <si>
    <t>Device_115</t>
  </si>
  <si>
    <t>Device_116</t>
  </si>
  <si>
    <t>Device_117</t>
  </si>
  <si>
    <t>Device_118</t>
  </si>
  <si>
    <t>No Helmet</t>
  </si>
  <si>
    <t>Device_119</t>
  </si>
  <si>
    <t>Device_120</t>
  </si>
  <si>
    <t>&lt;1 Day</t>
  </si>
  <si>
    <t>Device_121</t>
  </si>
  <si>
    <t>Device_122</t>
  </si>
  <si>
    <t>Device_123</t>
  </si>
  <si>
    <t>Device_124</t>
  </si>
  <si>
    <t>London</t>
  </si>
  <si>
    <t>50 km/h Speed</t>
  </si>
  <si>
    <t>Device_125</t>
  </si>
  <si>
    <t>Device_126</t>
  </si>
  <si>
    <t>75 km/h Speed</t>
  </si>
  <si>
    <t>Device_127</t>
  </si>
  <si>
    <t>Device_128</t>
  </si>
  <si>
    <t>Device_129</t>
  </si>
  <si>
    <t>Device_130</t>
  </si>
  <si>
    <t>Device_131</t>
  </si>
  <si>
    <t>Device_132</t>
  </si>
  <si>
    <t>Device_133</t>
  </si>
  <si>
    <t>Device_134</t>
  </si>
  <si>
    <t>Singapore</t>
  </si>
  <si>
    <t>Device_135</t>
  </si>
  <si>
    <t>Device_136</t>
  </si>
  <si>
    <t>Device_137</t>
  </si>
  <si>
    <t>Device_138</t>
  </si>
  <si>
    <t>Device_139</t>
  </si>
  <si>
    <t>100 km/h Speed</t>
  </si>
  <si>
    <t>Device_140</t>
  </si>
  <si>
    <t>Device_141</t>
  </si>
  <si>
    <t>Device_142</t>
  </si>
  <si>
    <t>Device_143</t>
  </si>
  <si>
    <t>Device_144</t>
  </si>
  <si>
    <t>Device_145</t>
  </si>
  <si>
    <t>Device_146</t>
  </si>
  <si>
    <t>Device_147</t>
  </si>
  <si>
    <t>Device_148</t>
  </si>
  <si>
    <t>Device_149</t>
  </si>
  <si>
    <t>Device_150</t>
  </si>
  <si>
    <t>Device_151</t>
  </si>
  <si>
    <t>Device_152</t>
  </si>
  <si>
    <t>Device_153</t>
  </si>
  <si>
    <t>Device_154</t>
  </si>
  <si>
    <t>Device_155</t>
  </si>
  <si>
    <t>Device_156</t>
  </si>
  <si>
    <t>Device_157</t>
  </si>
  <si>
    <t>Device_158</t>
  </si>
  <si>
    <t>Device_159</t>
  </si>
  <si>
    <t>Device_160</t>
  </si>
  <si>
    <t>Device_161</t>
  </si>
  <si>
    <t>Device_162</t>
  </si>
  <si>
    <t>Device_163</t>
  </si>
  <si>
    <t>Device_164</t>
  </si>
  <si>
    <t>Device_165</t>
  </si>
  <si>
    <t>Device_166</t>
  </si>
  <si>
    <t>Device_167</t>
  </si>
  <si>
    <t>Device_168</t>
  </si>
  <si>
    <t>Device_169</t>
  </si>
  <si>
    <t>Device_170</t>
  </si>
  <si>
    <t>Device_171</t>
  </si>
  <si>
    <t>Device_172</t>
  </si>
  <si>
    <t>Device_173</t>
  </si>
  <si>
    <t>Device_174</t>
  </si>
  <si>
    <t>Device_175</t>
  </si>
  <si>
    <t>Device_176</t>
  </si>
  <si>
    <t>Device_177</t>
  </si>
  <si>
    <t>Device_178</t>
  </si>
  <si>
    <t>Device_179</t>
  </si>
  <si>
    <t>Device_180</t>
  </si>
  <si>
    <t>Device_181</t>
  </si>
  <si>
    <t>Device_182</t>
  </si>
  <si>
    <t>Device_183</t>
  </si>
  <si>
    <t>Device_184</t>
  </si>
  <si>
    <t>Device_185</t>
  </si>
  <si>
    <t>Device_186</t>
  </si>
  <si>
    <t>Device_187</t>
  </si>
  <si>
    <t>Device_188</t>
  </si>
  <si>
    <t>Device_189</t>
  </si>
  <si>
    <t>Device_190</t>
  </si>
  <si>
    <t>Device_191</t>
  </si>
  <si>
    <t>Device_192</t>
  </si>
  <si>
    <t>Device_193</t>
  </si>
  <si>
    <t>Device_194</t>
  </si>
  <si>
    <t>Device_195</t>
  </si>
  <si>
    <t>Device_196</t>
  </si>
  <si>
    <t>Device_197</t>
  </si>
  <si>
    <t>Device_198</t>
  </si>
  <si>
    <t>Device_199</t>
  </si>
  <si>
    <t>Device_200</t>
  </si>
  <si>
    <t>Device_201</t>
  </si>
  <si>
    <t>Device_202</t>
  </si>
  <si>
    <t>Device_203</t>
  </si>
  <si>
    <t>Device_204</t>
  </si>
  <si>
    <t>Year</t>
  </si>
  <si>
    <t>Sum of Total Violations</t>
  </si>
  <si>
    <t>Row Labels</t>
  </si>
  <si>
    <t>Grand Total</t>
  </si>
  <si>
    <t>Sum of Active Violations</t>
  </si>
  <si>
    <t>Sum of Solved Violations</t>
  </si>
  <si>
    <t>Sum of Ignored Violations</t>
  </si>
  <si>
    <t>Sum of Environment Managed</t>
  </si>
  <si>
    <t>Sum of Environment Disabled</t>
  </si>
  <si>
    <t>Values</t>
  </si>
  <si>
    <t>Sum of Total Rules</t>
  </si>
  <si>
    <t>Overview &amp; key metric Section</t>
  </si>
  <si>
    <t>Metrics</t>
  </si>
  <si>
    <t xml:space="preserve"> Total Violations</t>
  </si>
  <si>
    <t xml:space="preserve"> Solved Violations</t>
  </si>
  <si>
    <t xml:space="preserve"> Environment Managed</t>
  </si>
  <si>
    <t xml:space="preserve"> Total Rules</t>
  </si>
  <si>
    <t xml:space="preserve"> Environment Disabled</t>
  </si>
  <si>
    <t>No of Violation by Type</t>
  </si>
  <si>
    <t xml:space="preserve"> Active Violations</t>
  </si>
  <si>
    <t>Helper</t>
  </si>
  <si>
    <t>Active Violation by City</t>
  </si>
  <si>
    <t>No ofActive &amp; Solved - TAT</t>
  </si>
  <si>
    <t>Solved by Compliance</t>
  </si>
  <si>
    <t>Solved Violation by Compliance %</t>
  </si>
  <si>
    <t xml:space="preserve">  Solved Violations</t>
  </si>
  <si>
    <t xml:space="preserve">  Ignored Violations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</si>
</sst>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sz val="11"/>
      <color theme="1"/>
      <name val="Calibri"/>
      <family val="2"/>
    </font>
    <font>
      <b/>
      <sz val="11"/>
      <color rgb="FFFF0000"/>
      <name val="Calibri"/>
      <family val="2"/>
    </font>
    <font>
      <sz val="11"/>
      <color theme="1"/>
      <name val="Calibri"/>
    </font>
  </fonts>
  <fills count="3">
    <fill>
      <patternFill patternType="none"/>
    </fill>
    <fill>
      <patternFill patternType="gray125"/>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14" fontId="0" fillId="0" borderId="0" xfId="0" applyNumberFormat="1"/>
    <xf numFmtId="0" fontId="3" fillId="0" borderId="0" xfId="0" applyFont="1"/>
    <xf numFmtId="0" fontId="2" fillId="2" borderId="1" xfId="0" applyFont="1" applyFill="1" applyBorder="1"/>
    <xf numFmtId="0" fontId="2" fillId="0" borderId="1" xfId="0" applyFont="1" applyBorder="1"/>
    <xf numFmtId="9" fontId="0" fillId="0" borderId="0" xfId="1" applyFont="1"/>
    <xf numFmtId="0" fontId="4" fillId="0" borderId="0" xfId="0" pivotButton="1" applyFont="1"/>
    <xf numFmtId="0" fontId="4" fillId="0" borderId="0" xfId="0" applyFont="1"/>
    <xf numFmtId="0" fontId="4" fillId="0" borderId="0" xfId="0" applyFont="1" applyAlignment="1">
      <alignment horizontal="left"/>
    </xf>
    <xf numFmtId="0" fontId="4" fillId="0" borderId="0" xfId="0" applyNumberFormat="1" applyFont="1"/>
    <xf numFmtId="9" fontId="4" fillId="0" borderId="0" xfId="0" applyNumberFormat="1" applyFont="1"/>
  </cellXfs>
  <cellStyles count="2">
    <cellStyle name="Normal" xfId="0" builtinId="0"/>
    <cellStyle name="Percent" xfId="1" builtinId="5"/>
  </cellStyles>
  <dxfs count="115">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4" formatCode="0.00%"/>
    </dxf>
    <dxf>
      <numFmt numFmtId="13" formatCode="0%"/>
    </dxf>
    <dxf>
      <numFmt numFmtId="13" formatCode="0%"/>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numFmt numFmtId="13" formatCode="0%"/>
    </dxf>
    <dxf>
      <numFmt numFmtId="13" formatCode="0%"/>
    </dxf>
    <dxf>
      <numFmt numFmtId="0" formatCode="General"/>
    </dxf>
    <dxf>
      <numFmt numFmtId="0" formatCode="General"/>
    </dxf>
    <dxf>
      <numFmt numFmtId="0" formatCode="General"/>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3" formatCode="0%"/>
    </dxf>
    <dxf>
      <numFmt numFmtId="13" formatCode="0%"/>
    </dxf>
    <dxf>
      <numFmt numFmtId="13" formatCode="0%"/>
    </dxf>
    <dxf>
      <numFmt numFmtId="0" formatCode="General"/>
    </dxf>
    <dxf>
      <numFmt numFmtId="0" formatCode="General"/>
    </dxf>
    <dxf>
      <numFmt numFmtId="0" formatCode="General"/>
    </dxf>
    <dxf>
      <font>
        <name val="Calibri"/>
        <scheme val="none"/>
      </font>
    </dxf>
    <dxf>
      <font>
        <name val="Calibri"/>
        <scheme val="none"/>
      </font>
    </dxf>
    <dxf>
      <font>
        <name val="Calibri"/>
        <scheme val="none"/>
      </font>
    </dxf>
    <dxf>
      <font>
        <name val="Calibri"/>
        <scheme val="none"/>
      </font>
    </dxf>
    <dxf>
      <numFmt numFmtId="13" formatCode="0%"/>
    </dxf>
    <dxf>
      <numFmt numFmtId="13" formatCode="0%"/>
    </dxf>
    <dxf>
      <numFmt numFmtId="13" formatCode="0%"/>
    </dxf>
    <dxf>
      <numFmt numFmtId="0" formatCode="General"/>
    </dxf>
    <dxf>
      <numFmt numFmtId="0" formatCode="General"/>
    </dxf>
    <dxf>
      <numFmt numFmtId="0" formatCode="General"/>
    </dxf>
    <dxf>
      <font>
        <name val="Calibri"/>
        <scheme val="none"/>
      </font>
    </dxf>
    <dxf>
      <font>
        <name val="Calibri"/>
        <scheme val="none"/>
      </font>
    </dxf>
    <dxf>
      <font>
        <name val="Calibri"/>
        <scheme val="none"/>
      </font>
    </dxf>
    <dxf>
      <font>
        <name val="Calibri"/>
        <scheme val="none"/>
      </font>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font>
        <name val="Calibri"/>
        <scheme val="none"/>
      </font>
    </dxf>
    <dxf>
      <font>
        <name val="Calibri"/>
        <scheme val="none"/>
      </font>
    </dxf>
    <dxf>
      <font>
        <name val="Calibri"/>
        <scheme val="none"/>
      </font>
    </dxf>
    <dxf>
      <font>
        <name val="Calibri"/>
        <scheme val="none"/>
      </font>
    </dxf>
    <dxf>
      <numFmt numFmtId="13" formatCode="0%"/>
    </dxf>
    <dxf>
      <numFmt numFmtId="13" formatCode="0%"/>
    </dxf>
    <dxf>
      <numFmt numFmtId="13" formatCode="0%"/>
    </dxf>
    <dxf>
      <numFmt numFmtId="13" formatCode="0%"/>
    </dxf>
    <dxf>
      <numFmt numFmtId="13" formatCode="0%"/>
    </dxf>
    <dxf>
      <numFmt numFmtId="13" formatCode="0%"/>
    </dxf>
    <dxf>
      <numFmt numFmtId="14"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numFmt numFmtId="19" formatCode="m/d/yyyy"/>
    </dxf>
  </dxfs>
  <tableStyles count="0" defaultTableStyle="TableStyleMedium2" defaultPivotStyle="PivotStyleLight16"/>
  <colors>
    <mruColors>
      <color rgb="FFFFCA21"/>
      <color rgb="FF808080"/>
      <color rgb="FF00C400"/>
      <color rgb="FF00CC00"/>
      <color rgb="FFFA0A1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dPt>
          <c:val>
            <c:numRef>
              <c:f>Pivot!$B$15</c:f>
              <c:numCache>
                <c:formatCode>General</c:formatCode>
                <c:ptCount val="1"/>
                <c:pt idx="0">
                  <c:v>2307</c:v>
                </c:pt>
              </c:numCache>
            </c:numRef>
          </c:val>
          <c:extLst>
            <c:ext xmlns:c16="http://schemas.microsoft.com/office/drawing/2014/chart" uri="{C3380CC4-5D6E-409C-BE32-E72D297353CC}">
              <c16:uniqueId val="{00000000-6B3F-47B1-B05F-EA609DB1635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(Pivot!$B$15,Pivot!$B$17)</c:f>
              <c:numCache>
                <c:formatCode>General</c:formatCode>
                <c:ptCount val="2"/>
                <c:pt idx="0">
                  <c:v>2307</c:v>
                </c:pt>
                <c:pt idx="1">
                  <c:v>1041</c:v>
                </c:pt>
              </c:numCache>
            </c:numRef>
          </c:val>
          <c:extLst>
            <c:ext xmlns:c16="http://schemas.microsoft.com/office/drawing/2014/chart" uri="{C3380CC4-5D6E-409C-BE32-E72D297353CC}">
              <c16:uniqueId val="{00000000-FED7-4D4F-8D61-E74D2F67D40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 Violation and Compliance Data 5.xlsx]Pivot!PivotTable4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Pivot!$E$3</c:f>
              <c:strCache>
                <c:ptCount val="1"/>
                <c:pt idx="0">
                  <c:v>Total</c:v>
                </c:pt>
              </c:strCache>
            </c:strRef>
          </c:tx>
          <c:spPr>
            <a:solidFill>
              <a:schemeClr val="accent1"/>
            </a:solidFill>
            <a:ln>
              <a:noFill/>
            </a:ln>
            <a:effectLst/>
          </c:spPr>
          <c:invertIfNegative val="0"/>
          <c:cat>
            <c:strRef>
              <c:f>Pivot!$D$4:$D$10</c:f>
              <c:strCache>
                <c:ptCount val="6"/>
                <c:pt idx="0">
                  <c:v>No License</c:v>
                </c:pt>
                <c:pt idx="1">
                  <c:v>Illegal U-turn</c:v>
                </c:pt>
                <c:pt idx="2">
                  <c:v>Seatbelt Violation</c:v>
                </c:pt>
                <c:pt idx="3">
                  <c:v>Speeding</c:v>
                </c:pt>
                <c:pt idx="4">
                  <c:v>No Helmet</c:v>
                </c:pt>
                <c:pt idx="5">
                  <c:v>Red Light Violation</c:v>
                </c:pt>
              </c:strCache>
            </c:strRef>
          </c:cat>
          <c:val>
            <c:numRef>
              <c:f>Pivot!$E$4:$E$10</c:f>
              <c:numCache>
                <c:formatCode>General</c:formatCode>
                <c:ptCount val="6"/>
                <c:pt idx="0">
                  <c:v>287</c:v>
                </c:pt>
                <c:pt idx="1">
                  <c:v>316</c:v>
                </c:pt>
                <c:pt idx="2">
                  <c:v>352</c:v>
                </c:pt>
                <c:pt idx="3">
                  <c:v>375</c:v>
                </c:pt>
                <c:pt idx="4">
                  <c:v>460</c:v>
                </c:pt>
                <c:pt idx="5">
                  <c:v>517</c:v>
                </c:pt>
              </c:numCache>
            </c:numRef>
          </c:val>
          <c:extLst>
            <c:ext xmlns:c16="http://schemas.microsoft.com/office/drawing/2014/chart" uri="{C3380CC4-5D6E-409C-BE32-E72D297353CC}">
              <c16:uniqueId val="{00000000-FC16-4820-8B69-0C3295BBDB87}"/>
            </c:ext>
          </c:extLst>
        </c:ser>
        <c:dLbls>
          <c:showLegendKey val="0"/>
          <c:showVal val="0"/>
          <c:showCatName val="0"/>
          <c:showSerName val="0"/>
          <c:showPercent val="0"/>
          <c:showBubbleSize val="0"/>
        </c:dLbls>
        <c:gapWidth val="182"/>
        <c:axId val="1420010368"/>
        <c:axId val="1420009952"/>
      </c:barChart>
      <c:catAx>
        <c:axId val="1420010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009952"/>
        <c:crosses val="autoZero"/>
        <c:auto val="1"/>
        <c:lblAlgn val="ctr"/>
        <c:lblOffset val="100"/>
        <c:noMultiLvlLbl val="0"/>
      </c:catAx>
      <c:valAx>
        <c:axId val="1420009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01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Pivot!$G$15</c:f>
              <c:strCache>
                <c:ptCount val="1"/>
                <c:pt idx="0">
                  <c:v>Tokyo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Pivot!$H$14:$I$14</c:f>
              <c:strCache>
                <c:ptCount val="2"/>
                <c:pt idx="0">
                  <c:v>Active Violations</c:v>
                </c:pt>
                <c:pt idx="1">
                  <c:v>Helper</c:v>
                </c:pt>
              </c:strCache>
            </c:strRef>
          </c:cat>
          <c:val>
            <c:numRef>
              <c:f>Pivot!$H$15:$I$15</c:f>
              <c:numCache>
                <c:formatCode>General</c:formatCode>
                <c:ptCount val="2"/>
                <c:pt idx="0">
                  <c:v>37</c:v>
                </c:pt>
                <c:pt idx="1">
                  <c:v>63</c:v>
                </c:pt>
              </c:numCache>
            </c:numRef>
          </c:val>
          <c:extLst>
            <c:ext xmlns:c16="http://schemas.microsoft.com/office/drawing/2014/chart" uri="{C3380CC4-5D6E-409C-BE32-E72D297353CC}">
              <c16:uniqueId val="{00000000-D367-48FD-8A5F-0DD0468BDF3A}"/>
            </c:ext>
          </c:extLst>
        </c:ser>
        <c:ser>
          <c:idx val="1"/>
          <c:order val="1"/>
          <c:tx>
            <c:strRef>
              <c:f>Pivot!$G$16</c:f>
              <c:strCache>
                <c:ptCount val="1"/>
                <c:pt idx="0">
                  <c:v>Singapore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Pivot!$H$14:$I$14</c:f>
              <c:strCache>
                <c:ptCount val="2"/>
                <c:pt idx="0">
                  <c:v>Active Violations</c:v>
                </c:pt>
                <c:pt idx="1">
                  <c:v>Helper</c:v>
                </c:pt>
              </c:strCache>
            </c:strRef>
          </c:cat>
          <c:val>
            <c:numRef>
              <c:f>Pivot!$H$16:$I$16</c:f>
              <c:numCache>
                <c:formatCode>General</c:formatCode>
                <c:ptCount val="2"/>
                <c:pt idx="0">
                  <c:v>54</c:v>
                </c:pt>
                <c:pt idx="1">
                  <c:v>46</c:v>
                </c:pt>
              </c:numCache>
            </c:numRef>
          </c:val>
          <c:extLst>
            <c:ext xmlns:c16="http://schemas.microsoft.com/office/drawing/2014/chart" uri="{C3380CC4-5D6E-409C-BE32-E72D297353CC}">
              <c16:uniqueId val="{00000001-D367-48FD-8A5F-0DD0468BDF3A}"/>
            </c:ext>
          </c:extLst>
        </c:ser>
        <c:ser>
          <c:idx val="2"/>
          <c:order val="2"/>
          <c:tx>
            <c:strRef>
              <c:f>Pivot!$G$17</c:f>
              <c:strCache>
                <c:ptCount val="1"/>
                <c:pt idx="0">
                  <c:v>Paris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Pivot!$H$14:$I$14</c:f>
              <c:strCache>
                <c:ptCount val="2"/>
                <c:pt idx="0">
                  <c:v>Active Violations</c:v>
                </c:pt>
                <c:pt idx="1">
                  <c:v>Helper</c:v>
                </c:pt>
              </c:strCache>
            </c:strRef>
          </c:cat>
          <c:val>
            <c:numRef>
              <c:f>Pivot!$H$17:$I$17</c:f>
              <c:numCache>
                <c:formatCode>General</c:formatCode>
                <c:ptCount val="2"/>
                <c:pt idx="0">
                  <c:v>68</c:v>
                </c:pt>
                <c:pt idx="1">
                  <c:v>32</c:v>
                </c:pt>
              </c:numCache>
            </c:numRef>
          </c:val>
          <c:extLst>
            <c:ext xmlns:c16="http://schemas.microsoft.com/office/drawing/2014/chart" uri="{C3380CC4-5D6E-409C-BE32-E72D297353CC}">
              <c16:uniqueId val="{00000002-D367-48FD-8A5F-0DD0468BDF3A}"/>
            </c:ext>
          </c:extLst>
        </c:ser>
        <c:ser>
          <c:idx val="3"/>
          <c:order val="3"/>
          <c:tx>
            <c:strRef>
              <c:f>Pivot!$G$18</c:f>
              <c:strCache>
                <c:ptCount val="1"/>
                <c:pt idx="0">
                  <c:v>Mumbai</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Pivot!$H$14:$I$14</c:f>
              <c:strCache>
                <c:ptCount val="2"/>
                <c:pt idx="0">
                  <c:v>Active Violations</c:v>
                </c:pt>
                <c:pt idx="1">
                  <c:v>Helper</c:v>
                </c:pt>
              </c:strCache>
            </c:strRef>
          </c:cat>
          <c:val>
            <c:numRef>
              <c:f>Pivot!$H$18:$I$18</c:f>
              <c:numCache>
                <c:formatCode>General</c:formatCode>
                <c:ptCount val="2"/>
                <c:pt idx="0">
                  <c:v>121</c:v>
                </c:pt>
                <c:pt idx="1">
                  <c:v>79</c:v>
                </c:pt>
              </c:numCache>
            </c:numRef>
          </c:val>
          <c:extLst>
            <c:ext xmlns:c16="http://schemas.microsoft.com/office/drawing/2014/chart" uri="{C3380CC4-5D6E-409C-BE32-E72D297353CC}">
              <c16:uniqueId val="{00000003-D367-48FD-8A5F-0DD0468BDF3A}"/>
            </c:ext>
          </c:extLst>
        </c:ser>
        <c:ser>
          <c:idx val="4"/>
          <c:order val="4"/>
          <c:tx>
            <c:strRef>
              <c:f>Pivot!$G$19</c:f>
              <c:strCache>
                <c:ptCount val="1"/>
                <c:pt idx="0">
                  <c:v>Sydney</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Pivot!$H$14:$I$14</c:f>
              <c:strCache>
                <c:ptCount val="2"/>
                <c:pt idx="0">
                  <c:v>Active Violations</c:v>
                </c:pt>
                <c:pt idx="1">
                  <c:v>Helper</c:v>
                </c:pt>
              </c:strCache>
            </c:strRef>
          </c:cat>
          <c:val>
            <c:numRef>
              <c:f>Pivot!$H$19:$I$19</c:f>
              <c:numCache>
                <c:formatCode>General</c:formatCode>
                <c:ptCount val="2"/>
                <c:pt idx="0">
                  <c:v>126</c:v>
                </c:pt>
                <c:pt idx="1">
                  <c:v>74</c:v>
                </c:pt>
              </c:numCache>
            </c:numRef>
          </c:val>
          <c:extLst>
            <c:ext xmlns:c16="http://schemas.microsoft.com/office/drawing/2014/chart" uri="{C3380CC4-5D6E-409C-BE32-E72D297353CC}">
              <c16:uniqueId val="{00000004-D367-48FD-8A5F-0DD0468BDF3A}"/>
            </c:ext>
          </c:extLst>
        </c:ser>
        <c:ser>
          <c:idx val="5"/>
          <c:order val="5"/>
          <c:tx>
            <c:strRef>
              <c:f>Pivot!$G$20</c:f>
              <c:strCache>
                <c:ptCount val="1"/>
                <c:pt idx="0">
                  <c:v>London</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Pivot!$H$14:$I$14</c:f>
              <c:strCache>
                <c:ptCount val="2"/>
                <c:pt idx="0">
                  <c:v>Active Violations</c:v>
                </c:pt>
                <c:pt idx="1">
                  <c:v>Helper</c:v>
                </c:pt>
              </c:strCache>
            </c:strRef>
          </c:cat>
          <c:val>
            <c:numRef>
              <c:f>Pivot!$H$20:$I$20</c:f>
              <c:numCache>
                <c:formatCode>General</c:formatCode>
                <c:ptCount val="2"/>
                <c:pt idx="0">
                  <c:v>147</c:v>
                </c:pt>
                <c:pt idx="1">
                  <c:v>53</c:v>
                </c:pt>
              </c:numCache>
            </c:numRef>
          </c:val>
          <c:extLst>
            <c:ext xmlns:c16="http://schemas.microsoft.com/office/drawing/2014/chart" uri="{C3380CC4-5D6E-409C-BE32-E72D297353CC}">
              <c16:uniqueId val="{00000005-D367-48FD-8A5F-0DD0468BDF3A}"/>
            </c:ext>
          </c:extLst>
        </c:ser>
        <c:ser>
          <c:idx val="6"/>
          <c:order val="6"/>
          <c:tx>
            <c:strRef>
              <c:f>Pivot!$G$21</c:f>
              <c:strCache>
                <c:ptCount val="1"/>
                <c:pt idx="0">
                  <c:v>New York</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Pivot!$H$14:$I$14</c:f>
              <c:strCache>
                <c:ptCount val="2"/>
                <c:pt idx="0">
                  <c:v>Active Violations</c:v>
                </c:pt>
                <c:pt idx="1">
                  <c:v>Helper</c:v>
                </c:pt>
              </c:strCache>
            </c:strRef>
          </c:cat>
          <c:val>
            <c:numRef>
              <c:f>Pivot!$H$21:$I$21</c:f>
              <c:numCache>
                <c:formatCode>General</c:formatCode>
                <c:ptCount val="2"/>
                <c:pt idx="0">
                  <c:v>167</c:v>
                </c:pt>
                <c:pt idx="1">
                  <c:v>33</c:v>
                </c:pt>
              </c:numCache>
            </c:numRef>
          </c:val>
          <c:extLst>
            <c:ext xmlns:c16="http://schemas.microsoft.com/office/drawing/2014/chart" uri="{C3380CC4-5D6E-409C-BE32-E72D297353CC}">
              <c16:uniqueId val="{00000006-D367-48FD-8A5F-0DD0468BDF3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 Violation and Compliance Data 5.xlsx]Pivot!PivotTable7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Pivot!$K$3</c:f>
              <c:strCache>
                <c:ptCount val="1"/>
                <c:pt idx="0">
                  <c:v>Sum of Active Violations</c:v>
                </c:pt>
              </c:strCache>
            </c:strRef>
          </c:tx>
          <c:spPr>
            <a:solidFill>
              <a:schemeClr val="accent1"/>
            </a:solidFill>
            <a:ln>
              <a:noFill/>
            </a:ln>
            <a:effectLst/>
          </c:spPr>
          <c:invertIfNegative val="0"/>
          <c:cat>
            <c:strRef>
              <c:f>Pivot!$J$4:$J$8</c:f>
              <c:strCache>
                <c:ptCount val="4"/>
                <c:pt idx="0">
                  <c:v>&lt;1 Day</c:v>
                </c:pt>
                <c:pt idx="1">
                  <c:v>&lt;1 Month</c:v>
                </c:pt>
                <c:pt idx="2">
                  <c:v>&lt;1 Week</c:v>
                </c:pt>
                <c:pt idx="3">
                  <c:v>&lt;12 Hours</c:v>
                </c:pt>
              </c:strCache>
            </c:strRef>
          </c:cat>
          <c:val>
            <c:numRef>
              <c:f>Pivot!$K$4:$K$8</c:f>
              <c:numCache>
                <c:formatCode>General</c:formatCode>
                <c:ptCount val="4"/>
                <c:pt idx="0">
                  <c:v>110</c:v>
                </c:pt>
                <c:pt idx="1">
                  <c:v>177</c:v>
                </c:pt>
                <c:pt idx="2">
                  <c:v>283</c:v>
                </c:pt>
                <c:pt idx="3">
                  <c:v>150</c:v>
                </c:pt>
              </c:numCache>
            </c:numRef>
          </c:val>
          <c:extLst>
            <c:ext xmlns:c16="http://schemas.microsoft.com/office/drawing/2014/chart" uri="{C3380CC4-5D6E-409C-BE32-E72D297353CC}">
              <c16:uniqueId val="{00000000-C86C-4244-B85C-9C8F6E71AD0D}"/>
            </c:ext>
          </c:extLst>
        </c:ser>
        <c:ser>
          <c:idx val="1"/>
          <c:order val="1"/>
          <c:tx>
            <c:strRef>
              <c:f>Pivot!$L$3</c:f>
              <c:strCache>
                <c:ptCount val="1"/>
                <c:pt idx="0">
                  <c:v>Sum of Solved Violations</c:v>
                </c:pt>
              </c:strCache>
            </c:strRef>
          </c:tx>
          <c:spPr>
            <a:solidFill>
              <a:schemeClr val="accent2"/>
            </a:solidFill>
            <a:ln>
              <a:noFill/>
            </a:ln>
            <a:effectLst/>
          </c:spPr>
          <c:invertIfNegative val="0"/>
          <c:cat>
            <c:strRef>
              <c:f>Pivot!$J$4:$J$8</c:f>
              <c:strCache>
                <c:ptCount val="4"/>
                <c:pt idx="0">
                  <c:v>&lt;1 Day</c:v>
                </c:pt>
                <c:pt idx="1">
                  <c:v>&lt;1 Month</c:v>
                </c:pt>
                <c:pt idx="2">
                  <c:v>&lt;1 Week</c:v>
                </c:pt>
                <c:pt idx="3">
                  <c:v>&lt;12 Hours</c:v>
                </c:pt>
              </c:strCache>
            </c:strRef>
          </c:cat>
          <c:val>
            <c:numRef>
              <c:f>Pivot!$L$4:$L$8</c:f>
              <c:numCache>
                <c:formatCode>General</c:formatCode>
                <c:ptCount val="4"/>
                <c:pt idx="0">
                  <c:v>242</c:v>
                </c:pt>
                <c:pt idx="1">
                  <c:v>237</c:v>
                </c:pt>
                <c:pt idx="2">
                  <c:v>338</c:v>
                </c:pt>
                <c:pt idx="3">
                  <c:v>224</c:v>
                </c:pt>
              </c:numCache>
            </c:numRef>
          </c:val>
          <c:extLst>
            <c:ext xmlns:c16="http://schemas.microsoft.com/office/drawing/2014/chart" uri="{C3380CC4-5D6E-409C-BE32-E72D297353CC}">
              <c16:uniqueId val="{00000001-C86C-4244-B85C-9C8F6E71AD0D}"/>
            </c:ext>
          </c:extLst>
        </c:ser>
        <c:dLbls>
          <c:showLegendKey val="0"/>
          <c:showVal val="0"/>
          <c:showCatName val="0"/>
          <c:showSerName val="0"/>
          <c:showPercent val="0"/>
          <c:showBubbleSize val="0"/>
        </c:dLbls>
        <c:gapWidth val="219"/>
        <c:overlap val="-27"/>
        <c:axId val="1421667200"/>
        <c:axId val="1421675104"/>
      </c:barChart>
      <c:catAx>
        <c:axId val="142166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675104"/>
        <c:crosses val="autoZero"/>
        <c:auto val="1"/>
        <c:lblAlgn val="ctr"/>
        <c:lblOffset val="100"/>
        <c:noMultiLvlLbl val="0"/>
      </c:catAx>
      <c:valAx>
        <c:axId val="142167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66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 Violation and Compliance Data 5.xlsx]Pivot!PivotTable8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Pivot!$O$3</c:f>
              <c:strCache>
                <c:ptCount val="1"/>
                <c:pt idx="0">
                  <c:v>Total</c:v>
                </c:pt>
              </c:strCache>
            </c:strRef>
          </c:tx>
          <c:spPr>
            <a:solidFill>
              <a:schemeClr val="accent1"/>
            </a:solidFill>
            <a:ln>
              <a:noFill/>
            </a:ln>
            <a:effectLst/>
          </c:spPr>
          <c:invertIfNegative val="0"/>
          <c:cat>
            <c:strRef>
              <c:f>Pivot!$N$4:$N$8</c:f>
              <c:strCache>
                <c:ptCount val="4"/>
                <c:pt idx="0">
                  <c:v>Compliant</c:v>
                </c:pt>
                <c:pt idx="1">
                  <c:v>Light Violation</c:v>
                </c:pt>
                <c:pt idx="2">
                  <c:v>Medium Violation</c:v>
                </c:pt>
                <c:pt idx="3">
                  <c:v>Severe Violation</c:v>
                </c:pt>
              </c:strCache>
            </c:strRef>
          </c:cat>
          <c:val>
            <c:numRef>
              <c:f>Pivot!$O$4:$O$8</c:f>
              <c:numCache>
                <c:formatCode>General</c:formatCode>
                <c:ptCount val="4"/>
                <c:pt idx="0">
                  <c:v>409</c:v>
                </c:pt>
                <c:pt idx="1">
                  <c:v>406</c:v>
                </c:pt>
                <c:pt idx="2">
                  <c:v>334</c:v>
                </c:pt>
                <c:pt idx="3">
                  <c:v>1158</c:v>
                </c:pt>
              </c:numCache>
            </c:numRef>
          </c:val>
          <c:extLst>
            <c:ext xmlns:c16="http://schemas.microsoft.com/office/drawing/2014/chart" uri="{C3380CC4-5D6E-409C-BE32-E72D297353CC}">
              <c16:uniqueId val="{00000000-9C33-45E8-8A05-94DAF7DB823A}"/>
            </c:ext>
          </c:extLst>
        </c:ser>
        <c:dLbls>
          <c:showLegendKey val="0"/>
          <c:showVal val="0"/>
          <c:showCatName val="0"/>
          <c:showSerName val="0"/>
          <c:showPercent val="0"/>
          <c:showBubbleSize val="0"/>
        </c:dLbls>
        <c:gapWidth val="182"/>
        <c:axId val="1568965056"/>
        <c:axId val="1568963808"/>
      </c:barChart>
      <c:catAx>
        <c:axId val="156896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963808"/>
        <c:crosses val="autoZero"/>
        <c:auto val="1"/>
        <c:lblAlgn val="ctr"/>
        <c:lblOffset val="100"/>
        <c:noMultiLvlLbl val="0"/>
      </c:catAx>
      <c:valAx>
        <c:axId val="1568963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96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 Violation and Compliance Data 5.xlsx]Pivot!PivotTable8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Pivot!$O$3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Pivot!$N$4:$N$8</c:f>
              <c:strCache>
                <c:ptCount val="4"/>
                <c:pt idx="0">
                  <c:v>Compliant</c:v>
                </c:pt>
                <c:pt idx="1">
                  <c:v>Light Violation</c:v>
                </c:pt>
                <c:pt idx="2">
                  <c:v>Medium Violation</c:v>
                </c:pt>
                <c:pt idx="3">
                  <c:v>Severe Violation</c:v>
                </c:pt>
              </c:strCache>
            </c:strRef>
          </c:cat>
          <c:val>
            <c:numRef>
              <c:f>Pivot!$O$4:$O$8</c:f>
              <c:numCache>
                <c:formatCode>General</c:formatCode>
                <c:ptCount val="4"/>
                <c:pt idx="0">
                  <c:v>409</c:v>
                </c:pt>
                <c:pt idx="1">
                  <c:v>406</c:v>
                </c:pt>
                <c:pt idx="2">
                  <c:v>334</c:v>
                </c:pt>
                <c:pt idx="3">
                  <c:v>1158</c:v>
                </c:pt>
              </c:numCache>
            </c:numRef>
          </c:val>
          <c:extLst>
            <c:ext xmlns:c16="http://schemas.microsoft.com/office/drawing/2014/chart" uri="{C3380CC4-5D6E-409C-BE32-E72D297353CC}">
              <c16:uniqueId val="{00000000-237A-47B9-B30F-41005B38B6E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 Violation and Compliance Data 5.xlsx]Pivot!PivotTable10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Pivot!$U$3</c:f>
              <c:strCache>
                <c:ptCount val="1"/>
                <c:pt idx="0">
                  <c:v> Active Violations</c:v>
                </c:pt>
              </c:strCache>
            </c:strRef>
          </c:tx>
          <c:spPr>
            <a:solidFill>
              <a:schemeClr val="accent1"/>
            </a:solidFill>
            <a:ln>
              <a:noFill/>
            </a:ln>
            <a:effectLst/>
          </c:spPr>
          <c:invertIfNegative val="0"/>
          <c:cat>
            <c:strRef>
              <c:f>Pivot!$T$4:$T$8</c:f>
              <c:strCache>
                <c:ptCount val="4"/>
                <c:pt idx="0">
                  <c:v>Severe Violation</c:v>
                </c:pt>
                <c:pt idx="1">
                  <c:v>Medium Violation</c:v>
                </c:pt>
                <c:pt idx="2">
                  <c:v>Light Violation</c:v>
                </c:pt>
                <c:pt idx="3">
                  <c:v>Compliant</c:v>
                </c:pt>
              </c:strCache>
            </c:strRef>
          </c:cat>
          <c:val>
            <c:numRef>
              <c:f>Pivot!$U$4:$U$8</c:f>
              <c:numCache>
                <c:formatCode>General</c:formatCode>
                <c:ptCount val="4"/>
                <c:pt idx="0">
                  <c:v>310</c:v>
                </c:pt>
                <c:pt idx="1">
                  <c:v>190</c:v>
                </c:pt>
                <c:pt idx="2">
                  <c:v>131</c:v>
                </c:pt>
                <c:pt idx="3">
                  <c:v>89</c:v>
                </c:pt>
              </c:numCache>
            </c:numRef>
          </c:val>
          <c:extLst>
            <c:ext xmlns:c16="http://schemas.microsoft.com/office/drawing/2014/chart" uri="{C3380CC4-5D6E-409C-BE32-E72D297353CC}">
              <c16:uniqueId val="{00000000-EE30-401C-AE80-68FB81E351B2}"/>
            </c:ext>
          </c:extLst>
        </c:ser>
        <c:ser>
          <c:idx val="1"/>
          <c:order val="1"/>
          <c:tx>
            <c:strRef>
              <c:f>Pivot!$V$3</c:f>
              <c:strCache>
                <c:ptCount val="1"/>
                <c:pt idx="0">
                  <c:v>  Solved Violations</c:v>
                </c:pt>
              </c:strCache>
            </c:strRef>
          </c:tx>
          <c:spPr>
            <a:solidFill>
              <a:schemeClr val="accent2"/>
            </a:solidFill>
            <a:ln>
              <a:noFill/>
            </a:ln>
            <a:effectLst/>
          </c:spPr>
          <c:invertIfNegative val="0"/>
          <c:cat>
            <c:strRef>
              <c:f>Pivot!$T$4:$T$8</c:f>
              <c:strCache>
                <c:ptCount val="4"/>
                <c:pt idx="0">
                  <c:v>Severe Violation</c:v>
                </c:pt>
                <c:pt idx="1">
                  <c:v>Medium Violation</c:v>
                </c:pt>
                <c:pt idx="2">
                  <c:v>Light Violation</c:v>
                </c:pt>
                <c:pt idx="3">
                  <c:v>Compliant</c:v>
                </c:pt>
              </c:strCache>
            </c:strRef>
          </c:cat>
          <c:val>
            <c:numRef>
              <c:f>Pivot!$V$4:$V$8</c:f>
              <c:numCache>
                <c:formatCode>General</c:formatCode>
                <c:ptCount val="4"/>
                <c:pt idx="0">
                  <c:v>471</c:v>
                </c:pt>
                <c:pt idx="1">
                  <c:v>191</c:v>
                </c:pt>
                <c:pt idx="2">
                  <c:v>235</c:v>
                </c:pt>
                <c:pt idx="3">
                  <c:v>144</c:v>
                </c:pt>
              </c:numCache>
            </c:numRef>
          </c:val>
          <c:extLst>
            <c:ext xmlns:c16="http://schemas.microsoft.com/office/drawing/2014/chart" uri="{C3380CC4-5D6E-409C-BE32-E72D297353CC}">
              <c16:uniqueId val="{00000001-EE30-401C-AE80-68FB81E351B2}"/>
            </c:ext>
          </c:extLst>
        </c:ser>
        <c:ser>
          <c:idx val="2"/>
          <c:order val="2"/>
          <c:tx>
            <c:strRef>
              <c:f>Pivot!$W$3</c:f>
              <c:strCache>
                <c:ptCount val="1"/>
                <c:pt idx="0">
                  <c:v>  Ignored Violations</c:v>
                </c:pt>
              </c:strCache>
            </c:strRef>
          </c:tx>
          <c:spPr>
            <a:solidFill>
              <a:schemeClr val="accent3"/>
            </a:solidFill>
            <a:ln>
              <a:noFill/>
            </a:ln>
            <a:effectLst/>
          </c:spPr>
          <c:invertIfNegative val="0"/>
          <c:cat>
            <c:strRef>
              <c:f>Pivot!$T$4:$T$8</c:f>
              <c:strCache>
                <c:ptCount val="4"/>
                <c:pt idx="0">
                  <c:v>Severe Violation</c:v>
                </c:pt>
                <c:pt idx="1">
                  <c:v>Medium Violation</c:v>
                </c:pt>
                <c:pt idx="2">
                  <c:v>Light Violation</c:v>
                </c:pt>
                <c:pt idx="3">
                  <c:v>Compliant</c:v>
                </c:pt>
              </c:strCache>
            </c:strRef>
          </c:cat>
          <c:val>
            <c:numRef>
              <c:f>Pivot!$W$4:$W$8</c:f>
              <c:numCache>
                <c:formatCode>General</c:formatCode>
                <c:ptCount val="4"/>
                <c:pt idx="0">
                  <c:v>217</c:v>
                </c:pt>
                <c:pt idx="1">
                  <c:v>106</c:v>
                </c:pt>
                <c:pt idx="2">
                  <c:v>114</c:v>
                </c:pt>
                <c:pt idx="3">
                  <c:v>94</c:v>
                </c:pt>
              </c:numCache>
            </c:numRef>
          </c:val>
          <c:extLst>
            <c:ext xmlns:c16="http://schemas.microsoft.com/office/drawing/2014/chart" uri="{C3380CC4-5D6E-409C-BE32-E72D297353CC}">
              <c16:uniqueId val="{00000002-EE30-401C-AE80-68FB81E351B2}"/>
            </c:ext>
          </c:extLst>
        </c:ser>
        <c:dLbls>
          <c:showLegendKey val="0"/>
          <c:showVal val="0"/>
          <c:showCatName val="0"/>
          <c:showSerName val="0"/>
          <c:showPercent val="0"/>
          <c:showBubbleSize val="0"/>
        </c:dLbls>
        <c:gapWidth val="219"/>
        <c:overlap val="-27"/>
        <c:axId val="1297753232"/>
        <c:axId val="1297744912"/>
      </c:barChart>
      <c:catAx>
        <c:axId val="129775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744912"/>
        <c:crosses val="autoZero"/>
        <c:auto val="1"/>
        <c:lblAlgn val="ctr"/>
        <c:lblOffset val="100"/>
        <c:noMultiLvlLbl val="0"/>
      </c:catAx>
      <c:valAx>
        <c:axId val="129774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75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12341790609507"/>
          <c:y val="4.8484848484848485E-2"/>
          <c:w val="0.76543209876543206"/>
          <c:h val="0.93939393939393945"/>
        </c:manualLayout>
      </c:layout>
      <c:doughnutChart>
        <c:varyColors val="1"/>
        <c:ser>
          <c:idx val="0"/>
          <c:order val="0"/>
          <c:spPr>
            <a:solidFill>
              <a:srgbClr val="00B0F0"/>
            </a:solidFill>
            <a:ln>
              <a:noFill/>
            </a:ln>
            <a:effectLst>
              <a:outerShdw blurRad="50800" dist="38100" dir="2700000" algn="tl" rotWithShape="0">
                <a:prstClr val="black">
                  <a:alpha val="40000"/>
                </a:prstClr>
              </a:outerShdw>
            </a:effectLst>
          </c:spPr>
          <c:dPt>
            <c:idx val="0"/>
            <c:bubble3D val="0"/>
            <c:spPr>
              <a:solidFill>
                <a:srgbClr val="00B0F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7D89-4E25-9EAD-E74E67864164}"/>
              </c:ext>
            </c:extLst>
          </c:dPt>
          <c:val>
            <c:numRef>
              <c:f>Pivot!$B$15</c:f>
              <c:numCache>
                <c:formatCode>General</c:formatCode>
                <c:ptCount val="1"/>
                <c:pt idx="0">
                  <c:v>2307</c:v>
                </c:pt>
              </c:numCache>
            </c:numRef>
          </c:val>
          <c:extLst>
            <c:ext xmlns:c16="http://schemas.microsoft.com/office/drawing/2014/chart" uri="{C3380CC4-5D6E-409C-BE32-E72D297353CC}">
              <c16:uniqueId val="{00000002-7D89-4E25-9EAD-E74E67864164}"/>
            </c:ext>
          </c:extLst>
        </c:ser>
        <c:dLbls>
          <c:showLegendKey val="0"/>
          <c:showVal val="0"/>
          <c:showCatName val="0"/>
          <c:showSerName val="0"/>
          <c:showPercent val="0"/>
          <c:showBubbleSize val="0"/>
          <c:showLeaderLines val="1"/>
        </c:dLbls>
        <c:firstSliceAng val="0"/>
        <c:holeSize val="6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8343966336364869E-2"/>
          <c:y val="2.8289008769660291E-2"/>
          <c:w val="0.85392714130582326"/>
          <c:h val="0.97171099123033966"/>
        </c:manualLayout>
      </c:layout>
      <c:doughnutChart>
        <c:varyColors val="1"/>
        <c:ser>
          <c:idx val="0"/>
          <c:order val="0"/>
          <c:spPr>
            <a:effectLst>
              <a:outerShdw blurRad="50800" dist="38100" dir="2700000" algn="tl" rotWithShape="0">
                <a:prstClr val="black">
                  <a:alpha val="40000"/>
                </a:prstClr>
              </a:outerShdw>
            </a:effectLst>
          </c:spPr>
          <c:dPt>
            <c:idx val="0"/>
            <c:bubble3D val="0"/>
            <c:spPr>
              <a:solidFill>
                <a:srgbClr val="00C40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07BB-45A1-B711-786D222C1954}"/>
              </c:ext>
            </c:extLst>
          </c:dPt>
          <c:dPt>
            <c:idx val="1"/>
            <c:bubble3D val="0"/>
            <c:spPr>
              <a:solidFill>
                <a:schemeClr val="bg1">
                  <a:lumMod val="8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07BB-45A1-B711-786D222C1954}"/>
              </c:ext>
            </c:extLst>
          </c:dPt>
          <c:val>
            <c:numRef>
              <c:f>(Pivot!$B$15,Pivot!$B$17)</c:f>
              <c:numCache>
                <c:formatCode>General</c:formatCode>
                <c:ptCount val="2"/>
                <c:pt idx="0">
                  <c:v>2307</c:v>
                </c:pt>
                <c:pt idx="1">
                  <c:v>1041</c:v>
                </c:pt>
              </c:numCache>
            </c:numRef>
          </c:val>
          <c:extLst>
            <c:ext xmlns:c16="http://schemas.microsoft.com/office/drawing/2014/chart" uri="{C3380CC4-5D6E-409C-BE32-E72D297353CC}">
              <c16:uniqueId val="{00000004-07BB-45A1-B711-786D222C1954}"/>
            </c:ext>
          </c:extLst>
        </c:ser>
        <c:dLbls>
          <c:showLegendKey val="0"/>
          <c:showVal val="0"/>
          <c:showCatName val="0"/>
          <c:showSerName val="0"/>
          <c:showPercent val="0"/>
          <c:showBubbleSize val="0"/>
          <c:showLeaderLines val="1"/>
        </c:dLbls>
        <c:firstSliceAng val="0"/>
        <c:holeSize val="6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114318103790864E-2"/>
          <c:y val="0"/>
          <c:w val="0.83542042446993847"/>
          <c:h val="1"/>
        </c:manualLayout>
      </c:layout>
      <c:doughnutChart>
        <c:varyColors val="1"/>
        <c:ser>
          <c:idx val="0"/>
          <c:order val="0"/>
          <c:dPt>
            <c:idx val="0"/>
            <c:bubble3D val="0"/>
            <c:spPr>
              <a:solidFill>
                <a:srgbClr val="FA0A1B"/>
              </a:solidFill>
              <a:ln w="19050">
                <a:noFill/>
              </a:ln>
              <a:effectLst/>
            </c:spPr>
            <c:extLst>
              <c:ext xmlns:c16="http://schemas.microsoft.com/office/drawing/2014/chart" uri="{C3380CC4-5D6E-409C-BE32-E72D297353CC}">
                <c16:uniqueId val="{00000001-07BB-45A1-B711-786D222C1954}"/>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07BB-45A1-B711-786D222C1954}"/>
              </c:ext>
            </c:extLst>
          </c:dPt>
          <c:val>
            <c:numRef>
              <c:f>(Pivot!$B$15,Pivot!$B$16)</c:f>
              <c:numCache>
                <c:formatCode>General</c:formatCode>
                <c:ptCount val="2"/>
                <c:pt idx="0">
                  <c:v>2307</c:v>
                </c:pt>
                <c:pt idx="1">
                  <c:v>720</c:v>
                </c:pt>
              </c:numCache>
            </c:numRef>
          </c:val>
          <c:extLst>
            <c:ext xmlns:c16="http://schemas.microsoft.com/office/drawing/2014/chart" uri="{C3380CC4-5D6E-409C-BE32-E72D297353CC}">
              <c16:uniqueId val="{00000004-07BB-45A1-B711-786D222C1954}"/>
            </c:ext>
          </c:extLst>
        </c:ser>
        <c:dLbls>
          <c:showLegendKey val="0"/>
          <c:showVal val="0"/>
          <c:showCatName val="0"/>
          <c:showSerName val="0"/>
          <c:showPercent val="0"/>
          <c:showBubbleSize val="0"/>
          <c:showLeaderLines val="1"/>
        </c:dLbls>
        <c:firstSliceAng val="0"/>
        <c:holeSize val="6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19956957089852"/>
          <c:y val="0"/>
          <c:w val="0.80255252842159708"/>
          <c:h val="1"/>
        </c:manualLayout>
      </c:layout>
      <c:doughnutChart>
        <c:varyColors val="1"/>
        <c:ser>
          <c:idx val="0"/>
          <c:order val="0"/>
          <c:dPt>
            <c:idx val="0"/>
            <c:bubble3D val="0"/>
            <c:spPr>
              <a:solidFill>
                <a:srgbClr val="FFCA21"/>
              </a:solidFill>
              <a:ln w="19050">
                <a:noFill/>
              </a:ln>
              <a:effectLst/>
            </c:spPr>
            <c:extLst>
              <c:ext xmlns:c16="http://schemas.microsoft.com/office/drawing/2014/chart" uri="{C3380CC4-5D6E-409C-BE32-E72D297353CC}">
                <c16:uniqueId val="{00000001-07BB-45A1-B711-786D222C1954}"/>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07BB-45A1-B711-786D222C1954}"/>
              </c:ext>
            </c:extLst>
          </c:dPt>
          <c:val>
            <c:numRef>
              <c:f>(Pivot!$B$15,Pivot!$B$18)</c:f>
              <c:numCache>
                <c:formatCode>General</c:formatCode>
                <c:ptCount val="2"/>
                <c:pt idx="0">
                  <c:v>2307</c:v>
                </c:pt>
                <c:pt idx="1">
                  <c:v>531</c:v>
                </c:pt>
              </c:numCache>
            </c:numRef>
          </c:val>
          <c:extLst>
            <c:ext xmlns:c16="http://schemas.microsoft.com/office/drawing/2014/chart" uri="{C3380CC4-5D6E-409C-BE32-E72D297353CC}">
              <c16:uniqueId val="{00000004-07BB-45A1-B711-786D222C1954}"/>
            </c:ext>
          </c:extLst>
        </c:ser>
        <c:dLbls>
          <c:showLegendKey val="0"/>
          <c:showVal val="0"/>
          <c:showCatName val="0"/>
          <c:showSerName val="0"/>
          <c:showPercent val="0"/>
          <c:showBubbleSize val="0"/>
          <c:showLeaderLines val="1"/>
        </c:dLbls>
        <c:firstSliceAng val="0"/>
        <c:holeSize val="6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 Violation and Compliance Data 5.xlsx]Pivot!PivotTable4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50" b="1">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rPr>
              <a:t>No of Violation by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C400"/>
          </a:solidFill>
          <a:ln>
            <a:noFill/>
          </a:ln>
          <a:effectLst>
            <a:outerShdw blurRad="50800" dist="38100" dir="2700000" algn="tl" rotWithShape="0">
              <a:prstClr val="black">
                <a:alpha val="40000"/>
              </a:prstClr>
            </a:outerShdw>
          </a:effectLst>
        </c:spPr>
      </c:pivotFmt>
      <c:pivotFmt>
        <c:idx val="4"/>
        <c:spPr>
          <a:solidFill>
            <a:srgbClr val="FFCA21"/>
          </a:solidFill>
          <a:ln>
            <a:noFill/>
          </a:ln>
          <a:effectLst>
            <a:outerShdw blurRad="50800" dist="38100" dir="2700000" algn="tl" rotWithShape="0">
              <a:prstClr val="black">
                <a:alpha val="40000"/>
              </a:prstClr>
            </a:outerShdw>
          </a:effectLst>
        </c:spPr>
      </c:pivotFmt>
      <c:pivotFmt>
        <c:idx val="5"/>
        <c:spPr>
          <a:solidFill>
            <a:schemeClr val="bg1">
              <a:lumMod val="65000"/>
            </a:schemeClr>
          </a:solidFill>
          <a:ln>
            <a:noFill/>
          </a:ln>
          <a:effectLst>
            <a:outerShdw blurRad="50800" dist="38100" dir="2700000" algn="tl" rotWithShape="0">
              <a:prstClr val="black">
                <a:alpha val="40000"/>
              </a:prstClr>
            </a:outerShdw>
          </a:effectLst>
        </c:spPr>
      </c:pivotFmt>
      <c:pivotFmt>
        <c:idx val="6"/>
        <c:spPr>
          <a:solidFill>
            <a:srgbClr val="00B0F0"/>
          </a:solidFill>
          <a:ln>
            <a:noFill/>
          </a:ln>
          <a:effectLst>
            <a:outerShdw blurRad="50800" dist="38100" dir="2700000" algn="tl" rotWithShape="0">
              <a:prstClr val="black">
                <a:alpha val="40000"/>
              </a:prstClr>
            </a:outerShdw>
          </a:effectLst>
        </c:spPr>
      </c:pivotFmt>
      <c:pivotFmt>
        <c:idx val="7"/>
        <c:spPr>
          <a:solidFill>
            <a:schemeClr val="accent4">
              <a:lumMod val="75000"/>
            </a:schemeClr>
          </a:solidFill>
          <a:ln>
            <a:noFill/>
          </a:ln>
          <a:effectLst>
            <a:outerShdw blurRad="50800" dist="38100" dir="2700000" algn="tl" rotWithShape="0">
              <a:prstClr val="black">
                <a:alpha val="40000"/>
              </a:prstClr>
            </a:outerShdw>
          </a:effectLst>
        </c:spPr>
      </c:pivotFmt>
      <c:pivotFmt>
        <c:idx val="8"/>
        <c:spPr>
          <a:solidFill>
            <a:srgbClr val="808080"/>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0.35900655212041332"/>
          <c:y val="0.17171296296296296"/>
          <c:w val="0.60978726354583279"/>
          <c:h val="0.82273950131233597"/>
        </c:manualLayout>
      </c:layout>
      <c:barChart>
        <c:barDir val="bar"/>
        <c:grouping val="clustered"/>
        <c:varyColors val="0"/>
        <c:ser>
          <c:idx val="0"/>
          <c:order val="0"/>
          <c:tx>
            <c:strRef>
              <c:f>Pivot!$E$3</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00C40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358E-48AC-A68F-8F360B7EF116}"/>
              </c:ext>
            </c:extLst>
          </c:dPt>
          <c:dPt>
            <c:idx val="1"/>
            <c:invertIfNegative val="0"/>
            <c:bubble3D val="0"/>
            <c:spPr>
              <a:solidFill>
                <a:srgbClr val="FFCA2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358E-48AC-A68F-8F360B7EF116}"/>
              </c:ext>
            </c:extLst>
          </c:dPt>
          <c:dPt>
            <c:idx val="2"/>
            <c:invertIfNegative val="0"/>
            <c:bubble3D val="0"/>
            <c:spPr>
              <a:solidFill>
                <a:schemeClr val="bg1">
                  <a:lumMod val="6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358E-48AC-A68F-8F360B7EF116}"/>
              </c:ext>
            </c:extLst>
          </c:dPt>
          <c:dPt>
            <c:idx val="3"/>
            <c:invertIfNegative val="0"/>
            <c:bubble3D val="0"/>
            <c:spPr>
              <a:solidFill>
                <a:srgbClr val="00B0F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358E-48AC-A68F-8F360B7EF116}"/>
              </c:ext>
            </c:extLst>
          </c:dPt>
          <c:dPt>
            <c:idx val="4"/>
            <c:invertIfNegative val="0"/>
            <c:bubble3D val="0"/>
            <c:spPr>
              <a:solidFill>
                <a:schemeClr val="accent4">
                  <a:lumMod val="7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358E-48AC-A68F-8F360B7EF116}"/>
              </c:ext>
            </c:extLst>
          </c:dPt>
          <c:dPt>
            <c:idx val="5"/>
            <c:invertIfNegative val="0"/>
            <c:bubble3D val="0"/>
            <c:spPr>
              <a:solidFill>
                <a:srgbClr val="80808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358E-48AC-A68F-8F360B7EF116}"/>
              </c:ext>
            </c:extLst>
          </c:dPt>
          <c:dLbls>
            <c:spPr>
              <a:noFill/>
              <a:ln>
                <a:noFill/>
              </a:ln>
              <a:effectLst/>
            </c:spPr>
            <c:txPr>
              <a:bodyPr rot="0" spcFirstLastPara="1" vertOverflow="ellipsis" vert="horz" wrap="square" lIns="38100" tIns="19050" rIns="38100" bIns="19050" anchor="ctr" anchorCtr="1">
                <a:spAutoFit/>
              </a:bodyPr>
              <a:lstStyle/>
              <a:p>
                <a:pPr>
                  <a:defRPr sz="95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Pivot!$D$4:$D$10</c:f>
              <c:strCache>
                <c:ptCount val="6"/>
                <c:pt idx="0">
                  <c:v>No License</c:v>
                </c:pt>
                <c:pt idx="1">
                  <c:v>Illegal U-turn</c:v>
                </c:pt>
                <c:pt idx="2">
                  <c:v>Seatbelt Violation</c:v>
                </c:pt>
                <c:pt idx="3">
                  <c:v>Speeding</c:v>
                </c:pt>
                <c:pt idx="4">
                  <c:v>No Helmet</c:v>
                </c:pt>
                <c:pt idx="5">
                  <c:v>Red Light Violation</c:v>
                </c:pt>
              </c:strCache>
            </c:strRef>
          </c:cat>
          <c:val>
            <c:numRef>
              <c:f>Pivot!$E$4:$E$10</c:f>
              <c:numCache>
                <c:formatCode>General</c:formatCode>
                <c:ptCount val="6"/>
                <c:pt idx="0">
                  <c:v>287</c:v>
                </c:pt>
                <c:pt idx="1">
                  <c:v>316</c:v>
                </c:pt>
                <c:pt idx="2">
                  <c:v>352</c:v>
                </c:pt>
                <c:pt idx="3">
                  <c:v>375</c:v>
                </c:pt>
                <c:pt idx="4">
                  <c:v>460</c:v>
                </c:pt>
                <c:pt idx="5">
                  <c:v>517</c:v>
                </c:pt>
              </c:numCache>
            </c:numRef>
          </c:val>
          <c:extLst>
            <c:ext xmlns:c16="http://schemas.microsoft.com/office/drawing/2014/chart" uri="{C3380CC4-5D6E-409C-BE32-E72D297353CC}">
              <c16:uniqueId val="{00000000-358E-48AC-A68F-8F360B7EF116}"/>
            </c:ext>
          </c:extLst>
        </c:ser>
        <c:dLbls>
          <c:showLegendKey val="0"/>
          <c:showVal val="0"/>
          <c:showCatName val="0"/>
          <c:showSerName val="0"/>
          <c:showPercent val="0"/>
          <c:showBubbleSize val="0"/>
        </c:dLbls>
        <c:gapWidth val="44"/>
        <c:axId val="1420010368"/>
        <c:axId val="1420009952"/>
      </c:barChart>
      <c:catAx>
        <c:axId val="1420010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009952"/>
        <c:crosses val="autoZero"/>
        <c:auto val="1"/>
        <c:lblAlgn val="ctr"/>
        <c:lblOffset val="100"/>
        <c:noMultiLvlLbl val="0"/>
      </c:catAx>
      <c:valAx>
        <c:axId val="1420009952"/>
        <c:scaling>
          <c:orientation val="minMax"/>
        </c:scaling>
        <c:delete val="1"/>
        <c:axPos val="b"/>
        <c:numFmt formatCode="General" sourceLinked="1"/>
        <c:majorTickMark val="none"/>
        <c:minorTickMark val="none"/>
        <c:tickLblPos val="nextTo"/>
        <c:crossAx val="1420010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lumMod val="50000"/>
                  </a:schemeClr>
                </a:solidFill>
              </a:rPr>
              <a:t>Active</a:t>
            </a:r>
            <a:r>
              <a:rPr lang="en-US" b="1" baseline="0">
                <a:solidFill>
                  <a:schemeClr val="bg1">
                    <a:lumMod val="50000"/>
                  </a:schemeClr>
                </a:solidFill>
              </a:rPr>
              <a:t> Violation by City</a:t>
            </a:r>
            <a:endParaRPr lang="en-US" b="1">
              <a:solidFill>
                <a:schemeClr val="bg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2049437850119481E-2"/>
          <c:y val="0.14470886075949363"/>
          <c:w val="0.83976370117914367"/>
          <c:h val="0.71220465796205856"/>
        </c:manualLayout>
      </c:layout>
      <c:doughnutChart>
        <c:varyColors val="1"/>
        <c:ser>
          <c:idx val="0"/>
          <c:order val="0"/>
          <c:tx>
            <c:strRef>
              <c:f>Pivot!$G$15</c:f>
              <c:strCache>
                <c:ptCount val="1"/>
                <c:pt idx="0">
                  <c:v>Tokyo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49-462B-BD47-178AF7A38B8C}"/>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E149-462B-BD47-178AF7A38B8C}"/>
              </c:ext>
            </c:extLst>
          </c:dPt>
          <c:cat>
            <c:strRef>
              <c:f>Pivot!$H$14:$I$14</c:f>
              <c:strCache>
                <c:ptCount val="2"/>
                <c:pt idx="0">
                  <c:v>Active Violations</c:v>
                </c:pt>
                <c:pt idx="1">
                  <c:v>Helper</c:v>
                </c:pt>
              </c:strCache>
            </c:strRef>
          </c:cat>
          <c:val>
            <c:numRef>
              <c:f>Pivot!$H$15:$I$15</c:f>
              <c:numCache>
                <c:formatCode>General</c:formatCode>
                <c:ptCount val="2"/>
                <c:pt idx="0">
                  <c:v>37</c:v>
                </c:pt>
                <c:pt idx="1">
                  <c:v>63</c:v>
                </c:pt>
              </c:numCache>
            </c:numRef>
          </c:val>
          <c:extLst>
            <c:ext xmlns:c16="http://schemas.microsoft.com/office/drawing/2014/chart" uri="{C3380CC4-5D6E-409C-BE32-E72D297353CC}">
              <c16:uniqueId val="{00000004-E149-462B-BD47-178AF7A38B8C}"/>
            </c:ext>
          </c:extLst>
        </c:ser>
        <c:ser>
          <c:idx val="1"/>
          <c:order val="1"/>
          <c:tx>
            <c:strRef>
              <c:f>Pivot!$G$16</c:f>
              <c:strCache>
                <c:ptCount val="1"/>
                <c:pt idx="0">
                  <c:v>Singapore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E149-462B-BD47-178AF7A38B8C}"/>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8-E149-462B-BD47-178AF7A38B8C}"/>
              </c:ext>
            </c:extLst>
          </c:dPt>
          <c:cat>
            <c:strRef>
              <c:f>Pivot!$H$14:$I$14</c:f>
              <c:strCache>
                <c:ptCount val="2"/>
                <c:pt idx="0">
                  <c:v>Active Violations</c:v>
                </c:pt>
                <c:pt idx="1">
                  <c:v>Helper</c:v>
                </c:pt>
              </c:strCache>
            </c:strRef>
          </c:cat>
          <c:val>
            <c:numRef>
              <c:f>Pivot!$H$16:$I$16</c:f>
              <c:numCache>
                <c:formatCode>General</c:formatCode>
                <c:ptCount val="2"/>
                <c:pt idx="0">
                  <c:v>54</c:v>
                </c:pt>
                <c:pt idx="1">
                  <c:v>46</c:v>
                </c:pt>
              </c:numCache>
            </c:numRef>
          </c:val>
          <c:extLst>
            <c:ext xmlns:c16="http://schemas.microsoft.com/office/drawing/2014/chart" uri="{C3380CC4-5D6E-409C-BE32-E72D297353CC}">
              <c16:uniqueId val="{00000009-E149-462B-BD47-178AF7A38B8C}"/>
            </c:ext>
          </c:extLst>
        </c:ser>
        <c:ser>
          <c:idx val="2"/>
          <c:order val="2"/>
          <c:tx>
            <c:strRef>
              <c:f>Pivot!$G$17</c:f>
              <c:strCache>
                <c:ptCount val="1"/>
                <c:pt idx="0">
                  <c:v>Paris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E149-462B-BD47-178AF7A38B8C}"/>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D-E149-462B-BD47-178AF7A38B8C}"/>
              </c:ext>
            </c:extLst>
          </c:dPt>
          <c:cat>
            <c:strRef>
              <c:f>Pivot!$H$14:$I$14</c:f>
              <c:strCache>
                <c:ptCount val="2"/>
                <c:pt idx="0">
                  <c:v>Active Violations</c:v>
                </c:pt>
                <c:pt idx="1">
                  <c:v>Helper</c:v>
                </c:pt>
              </c:strCache>
            </c:strRef>
          </c:cat>
          <c:val>
            <c:numRef>
              <c:f>Pivot!$H$17:$I$17</c:f>
              <c:numCache>
                <c:formatCode>General</c:formatCode>
                <c:ptCount val="2"/>
                <c:pt idx="0">
                  <c:v>68</c:v>
                </c:pt>
                <c:pt idx="1">
                  <c:v>32</c:v>
                </c:pt>
              </c:numCache>
            </c:numRef>
          </c:val>
          <c:extLst>
            <c:ext xmlns:c16="http://schemas.microsoft.com/office/drawing/2014/chart" uri="{C3380CC4-5D6E-409C-BE32-E72D297353CC}">
              <c16:uniqueId val="{0000000E-E149-462B-BD47-178AF7A38B8C}"/>
            </c:ext>
          </c:extLst>
        </c:ser>
        <c:ser>
          <c:idx val="3"/>
          <c:order val="3"/>
          <c:tx>
            <c:strRef>
              <c:f>Pivot!$G$18</c:f>
              <c:strCache>
                <c:ptCount val="1"/>
                <c:pt idx="0">
                  <c:v>Mumbai</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E149-462B-BD47-178AF7A38B8C}"/>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12-E149-462B-BD47-178AF7A38B8C}"/>
              </c:ext>
            </c:extLst>
          </c:dPt>
          <c:cat>
            <c:strRef>
              <c:f>Pivot!$H$14:$I$14</c:f>
              <c:strCache>
                <c:ptCount val="2"/>
                <c:pt idx="0">
                  <c:v>Active Violations</c:v>
                </c:pt>
                <c:pt idx="1">
                  <c:v>Helper</c:v>
                </c:pt>
              </c:strCache>
            </c:strRef>
          </c:cat>
          <c:val>
            <c:numRef>
              <c:f>Pivot!$H$18:$I$18</c:f>
              <c:numCache>
                <c:formatCode>General</c:formatCode>
                <c:ptCount val="2"/>
                <c:pt idx="0">
                  <c:v>121</c:v>
                </c:pt>
                <c:pt idx="1">
                  <c:v>79</c:v>
                </c:pt>
              </c:numCache>
            </c:numRef>
          </c:val>
          <c:extLst>
            <c:ext xmlns:c16="http://schemas.microsoft.com/office/drawing/2014/chart" uri="{C3380CC4-5D6E-409C-BE32-E72D297353CC}">
              <c16:uniqueId val="{00000013-E149-462B-BD47-178AF7A38B8C}"/>
            </c:ext>
          </c:extLst>
        </c:ser>
        <c:ser>
          <c:idx val="4"/>
          <c:order val="4"/>
          <c:tx>
            <c:strRef>
              <c:f>Pivot!$G$19</c:f>
              <c:strCache>
                <c:ptCount val="1"/>
                <c:pt idx="0">
                  <c:v>Sydney</c:v>
                </c:pt>
              </c:strCache>
            </c:strRef>
          </c:tx>
          <c:dPt>
            <c:idx val="0"/>
            <c:bubble3D val="0"/>
            <c:spPr>
              <a:solidFill>
                <a:schemeClr val="accent1"/>
              </a:solidFill>
              <a:ln w="19050">
                <a:solidFill>
                  <a:schemeClr val="accent1"/>
                </a:solidFill>
              </a:ln>
              <a:effectLst/>
            </c:spPr>
            <c:extLst>
              <c:ext xmlns:c16="http://schemas.microsoft.com/office/drawing/2014/chart" uri="{C3380CC4-5D6E-409C-BE32-E72D297353CC}">
                <c16:uniqueId val="{00000015-E149-462B-BD47-178AF7A38B8C}"/>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17-E149-462B-BD47-178AF7A38B8C}"/>
              </c:ext>
            </c:extLst>
          </c:dPt>
          <c:cat>
            <c:strRef>
              <c:f>Pivot!$H$14:$I$14</c:f>
              <c:strCache>
                <c:ptCount val="2"/>
                <c:pt idx="0">
                  <c:v>Active Violations</c:v>
                </c:pt>
                <c:pt idx="1">
                  <c:v>Helper</c:v>
                </c:pt>
              </c:strCache>
            </c:strRef>
          </c:cat>
          <c:val>
            <c:numRef>
              <c:f>Pivot!$H$19:$I$19</c:f>
              <c:numCache>
                <c:formatCode>General</c:formatCode>
                <c:ptCount val="2"/>
                <c:pt idx="0">
                  <c:v>126</c:v>
                </c:pt>
                <c:pt idx="1">
                  <c:v>74</c:v>
                </c:pt>
              </c:numCache>
            </c:numRef>
          </c:val>
          <c:extLst>
            <c:ext xmlns:c16="http://schemas.microsoft.com/office/drawing/2014/chart" uri="{C3380CC4-5D6E-409C-BE32-E72D297353CC}">
              <c16:uniqueId val="{00000018-E149-462B-BD47-178AF7A38B8C}"/>
            </c:ext>
          </c:extLst>
        </c:ser>
        <c:ser>
          <c:idx val="5"/>
          <c:order val="5"/>
          <c:tx>
            <c:strRef>
              <c:f>Pivot!$G$20</c:f>
              <c:strCache>
                <c:ptCount val="1"/>
                <c:pt idx="0">
                  <c:v>London</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1A-E149-462B-BD47-178AF7A38B8C}"/>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1C-E149-462B-BD47-178AF7A38B8C}"/>
              </c:ext>
            </c:extLst>
          </c:dPt>
          <c:cat>
            <c:strRef>
              <c:f>Pivot!$H$14:$I$14</c:f>
              <c:strCache>
                <c:ptCount val="2"/>
                <c:pt idx="0">
                  <c:v>Active Violations</c:v>
                </c:pt>
                <c:pt idx="1">
                  <c:v>Helper</c:v>
                </c:pt>
              </c:strCache>
            </c:strRef>
          </c:cat>
          <c:val>
            <c:numRef>
              <c:f>Pivot!$H$20:$I$20</c:f>
              <c:numCache>
                <c:formatCode>General</c:formatCode>
                <c:ptCount val="2"/>
                <c:pt idx="0">
                  <c:v>147</c:v>
                </c:pt>
                <c:pt idx="1">
                  <c:v>53</c:v>
                </c:pt>
              </c:numCache>
            </c:numRef>
          </c:val>
          <c:extLst>
            <c:ext xmlns:c16="http://schemas.microsoft.com/office/drawing/2014/chart" uri="{C3380CC4-5D6E-409C-BE32-E72D297353CC}">
              <c16:uniqueId val="{0000001D-E149-462B-BD47-178AF7A38B8C}"/>
            </c:ext>
          </c:extLst>
        </c:ser>
        <c:ser>
          <c:idx val="6"/>
          <c:order val="6"/>
          <c:tx>
            <c:strRef>
              <c:f>Pivot!$G$21</c:f>
              <c:strCache>
                <c:ptCount val="1"/>
                <c:pt idx="0">
                  <c:v>New York</c:v>
                </c:pt>
              </c:strCache>
            </c:strRef>
          </c:tx>
          <c:dPt>
            <c:idx val="0"/>
            <c:bubble3D val="0"/>
            <c:spPr>
              <a:solidFill>
                <a:srgbClr val="00B0F0"/>
              </a:solidFill>
              <a:ln w="19050">
                <a:solidFill>
                  <a:schemeClr val="lt1"/>
                </a:solidFill>
              </a:ln>
              <a:effectLst/>
            </c:spPr>
            <c:extLst>
              <c:ext xmlns:c16="http://schemas.microsoft.com/office/drawing/2014/chart" uri="{C3380CC4-5D6E-409C-BE32-E72D297353CC}">
                <c16:uniqueId val="{0000001F-E149-462B-BD47-178AF7A38B8C}"/>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21-E149-462B-BD47-178AF7A38B8C}"/>
              </c:ext>
            </c:extLst>
          </c:dPt>
          <c:cat>
            <c:strRef>
              <c:f>Pivot!$H$14:$I$14</c:f>
              <c:strCache>
                <c:ptCount val="2"/>
                <c:pt idx="0">
                  <c:v>Active Violations</c:v>
                </c:pt>
                <c:pt idx="1">
                  <c:v>Helper</c:v>
                </c:pt>
              </c:strCache>
            </c:strRef>
          </c:cat>
          <c:val>
            <c:numRef>
              <c:f>Pivot!$H$21:$I$21</c:f>
              <c:numCache>
                <c:formatCode>General</c:formatCode>
                <c:ptCount val="2"/>
                <c:pt idx="0">
                  <c:v>167</c:v>
                </c:pt>
                <c:pt idx="1">
                  <c:v>33</c:v>
                </c:pt>
              </c:numCache>
            </c:numRef>
          </c:val>
          <c:extLst>
            <c:ext xmlns:c16="http://schemas.microsoft.com/office/drawing/2014/chart" uri="{C3380CC4-5D6E-409C-BE32-E72D297353CC}">
              <c16:uniqueId val="{00000022-E149-462B-BD47-178AF7A38B8C}"/>
            </c:ext>
          </c:extLst>
        </c:ser>
        <c:dLbls>
          <c:showLegendKey val="0"/>
          <c:showVal val="0"/>
          <c:showCatName val="0"/>
          <c:showSerName val="0"/>
          <c:showPercent val="0"/>
          <c:showBubbleSize val="0"/>
          <c:showLeaderLines val="1"/>
        </c:dLbls>
        <c:firstSliceAng val="179"/>
        <c:holeSize val="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 Violation and Compliance Data 5.xlsx]Pivot!PivotTable7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20" b="1">
                <a:solidFill>
                  <a:schemeClr val="tx1">
                    <a:lumMod val="50000"/>
                    <a:lumOff val="50000"/>
                  </a:schemeClr>
                </a:solidFill>
              </a:rPr>
              <a:t>No</a:t>
            </a:r>
            <a:r>
              <a:rPr lang="en-US" sz="1420" b="1" baseline="0">
                <a:solidFill>
                  <a:schemeClr val="tx1">
                    <a:lumMod val="50000"/>
                    <a:lumOff val="50000"/>
                  </a:schemeClr>
                </a:solidFill>
              </a:rPr>
              <a:t> of Active &amp; Solved Violation by TAT</a:t>
            </a:r>
            <a:endParaRPr lang="en-US" sz="1420" b="1">
              <a:solidFill>
                <a:schemeClr val="tx1">
                  <a:lumMod val="50000"/>
                  <a:lumOff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50000"/>
              <a:lumOff val="50000"/>
            </a:schemeClr>
          </a:solidFill>
          <a:ln>
            <a:noFill/>
          </a:ln>
          <a:effectLst>
            <a:outerShdw blurRad="50800" dist="38100" dir="2700000" algn="tl" rotWithShape="0">
              <a:prstClr val="black">
                <a:alpha val="40000"/>
              </a:prstClr>
            </a:outerShdw>
          </a:effectLst>
        </c:spPr>
      </c:pivotFmt>
      <c:pivotFmt>
        <c:idx val="7"/>
        <c:spPr>
          <a:solidFill>
            <a:schemeClr val="bg1">
              <a:lumMod val="65000"/>
            </a:schemeClr>
          </a:solidFill>
          <a:ln>
            <a:noFill/>
          </a:ln>
          <a:effectLst>
            <a:outerShdw blurRad="50800" dist="38100" dir="2700000" algn="tl" rotWithShape="0">
              <a:prstClr val="black">
                <a:alpha val="40000"/>
              </a:prstClr>
            </a:outerShdw>
          </a:effectLst>
        </c:spPr>
      </c:pivotFmt>
      <c:pivotFmt>
        <c:idx val="8"/>
        <c:spPr>
          <a:solidFill>
            <a:srgbClr val="FFCA21"/>
          </a:solidFill>
          <a:ln>
            <a:noFill/>
          </a:ln>
          <a:effectLst>
            <a:outerShdw blurRad="50800" dist="38100" dir="2700000" algn="tl" rotWithShape="0">
              <a:prstClr val="black">
                <a:alpha val="40000"/>
              </a:prstClr>
            </a:outerShdw>
          </a:effectLst>
        </c:spPr>
      </c:pivotFmt>
      <c:pivotFmt>
        <c:idx val="9"/>
        <c:spPr>
          <a:solidFill>
            <a:schemeClr val="tx2">
              <a:lumMod val="75000"/>
              <a:lumOff val="25000"/>
            </a:schemeClr>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1.2026868055436294E-2"/>
          <c:y val="0.17634259259259263"/>
          <c:w val="0.95048644146387551"/>
          <c:h val="0.64276210265383482"/>
        </c:manualLayout>
      </c:layout>
      <c:barChart>
        <c:barDir val="col"/>
        <c:grouping val="clustered"/>
        <c:varyColors val="0"/>
        <c:ser>
          <c:idx val="1"/>
          <c:order val="1"/>
          <c:tx>
            <c:strRef>
              <c:f>Pivot!$L$3</c:f>
              <c:strCache>
                <c:ptCount val="1"/>
                <c:pt idx="0">
                  <c:v>Sum of Solved Violations</c:v>
                </c:pt>
              </c:strCache>
            </c:strRef>
          </c:tx>
          <c:spPr>
            <a:solidFill>
              <a:schemeClr val="accent2"/>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tx2">
                  <a:lumMod val="50000"/>
                  <a:lumOff val="5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5232-4C19-B6F2-8CCEC5F9B501}"/>
              </c:ext>
            </c:extLst>
          </c:dPt>
          <c:dPt>
            <c:idx val="1"/>
            <c:invertIfNegative val="0"/>
            <c:bubble3D val="0"/>
            <c:spPr>
              <a:solidFill>
                <a:schemeClr val="bg1">
                  <a:lumMod val="6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5232-4C19-B6F2-8CCEC5F9B501}"/>
              </c:ext>
            </c:extLst>
          </c:dPt>
          <c:dPt>
            <c:idx val="2"/>
            <c:invertIfNegative val="0"/>
            <c:bubble3D val="0"/>
            <c:spPr>
              <a:solidFill>
                <a:srgbClr val="FFCA2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5232-4C19-B6F2-8CCEC5F9B501}"/>
              </c:ext>
            </c:extLst>
          </c:dPt>
          <c:dPt>
            <c:idx val="3"/>
            <c:invertIfNegative val="0"/>
            <c:bubble3D val="0"/>
            <c:spPr>
              <a:solidFill>
                <a:schemeClr val="tx2">
                  <a:lumMod val="75000"/>
                  <a:lumOff val="2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5232-4C19-B6F2-8CCEC5F9B5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Pivot!$J$4:$J$8</c:f>
              <c:strCache>
                <c:ptCount val="4"/>
                <c:pt idx="0">
                  <c:v>&lt;1 Day</c:v>
                </c:pt>
                <c:pt idx="1">
                  <c:v>&lt;1 Month</c:v>
                </c:pt>
                <c:pt idx="2">
                  <c:v>&lt;1 Week</c:v>
                </c:pt>
                <c:pt idx="3">
                  <c:v>&lt;12 Hours</c:v>
                </c:pt>
              </c:strCache>
            </c:strRef>
          </c:cat>
          <c:val>
            <c:numRef>
              <c:f>Pivot!$L$4:$L$8</c:f>
              <c:numCache>
                <c:formatCode>General</c:formatCode>
                <c:ptCount val="4"/>
                <c:pt idx="0">
                  <c:v>242</c:v>
                </c:pt>
                <c:pt idx="1">
                  <c:v>237</c:v>
                </c:pt>
                <c:pt idx="2">
                  <c:v>338</c:v>
                </c:pt>
                <c:pt idx="3">
                  <c:v>224</c:v>
                </c:pt>
              </c:numCache>
            </c:numRef>
          </c:val>
          <c:extLst>
            <c:ext xmlns:c16="http://schemas.microsoft.com/office/drawing/2014/chart" uri="{C3380CC4-5D6E-409C-BE32-E72D297353CC}">
              <c16:uniqueId val="{00000001-5232-4C19-B6F2-8CCEC5F9B501}"/>
            </c:ext>
          </c:extLst>
        </c:ser>
        <c:dLbls>
          <c:showLegendKey val="0"/>
          <c:showVal val="0"/>
          <c:showCatName val="0"/>
          <c:showSerName val="0"/>
          <c:showPercent val="0"/>
          <c:showBubbleSize val="0"/>
        </c:dLbls>
        <c:gapWidth val="150"/>
        <c:overlap val="-27"/>
        <c:axId val="1421667200"/>
        <c:axId val="1421675104"/>
      </c:barChart>
      <c:barChart>
        <c:barDir val="col"/>
        <c:grouping val="clustered"/>
        <c:varyColors val="0"/>
        <c:ser>
          <c:idx val="0"/>
          <c:order val="0"/>
          <c:tx>
            <c:strRef>
              <c:f>Pivot!$K$3</c:f>
              <c:strCache>
                <c:ptCount val="1"/>
                <c:pt idx="0">
                  <c:v>Sum of Active Violations</c:v>
                </c:pt>
              </c:strCache>
            </c:strRef>
          </c:tx>
          <c:spPr>
            <a:solidFill>
              <a:srgbClr val="00206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Pivot!$J$4:$J$8</c:f>
              <c:strCache>
                <c:ptCount val="4"/>
                <c:pt idx="0">
                  <c:v>&lt;1 Day</c:v>
                </c:pt>
                <c:pt idx="1">
                  <c:v>&lt;1 Month</c:v>
                </c:pt>
                <c:pt idx="2">
                  <c:v>&lt;1 Week</c:v>
                </c:pt>
                <c:pt idx="3">
                  <c:v>&lt;12 Hours</c:v>
                </c:pt>
              </c:strCache>
            </c:strRef>
          </c:cat>
          <c:val>
            <c:numRef>
              <c:f>Pivot!$K$4:$K$8</c:f>
              <c:numCache>
                <c:formatCode>General</c:formatCode>
                <c:ptCount val="4"/>
                <c:pt idx="0">
                  <c:v>110</c:v>
                </c:pt>
                <c:pt idx="1">
                  <c:v>177</c:v>
                </c:pt>
                <c:pt idx="2">
                  <c:v>283</c:v>
                </c:pt>
                <c:pt idx="3">
                  <c:v>150</c:v>
                </c:pt>
              </c:numCache>
            </c:numRef>
          </c:val>
          <c:extLst>
            <c:ext xmlns:c16="http://schemas.microsoft.com/office/drawing/2014/chart" uri="{C3380CC4-5D6E-409C-BE32-E72D297353CC}">
              <c16:uniqueId val="{00000000-5232-4C19-B6F2-8CCEC5F9B501}"/>
            </c:ext>
          </c:extLst>
        </c:ser>
        <c:dLbls>
          <c:showLegendKey val="0"/>
          <c:showVal val="0"/>
          <c:showCatName val="0"/>
          <c:showSerName val="0"/>
          <c:showPercent val="0"/>
          <c:showBubbleSize val="0"/>
        </c:dLbls>
        <c:gapWidth val="413"/>
        <c:overlap val="-27"/>
        <c:axId val="1582512832"/>
        <c:axId val="1582514912"/>
      </c:barChart>
      <c:catAx>
        <c:axId val="142166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1675104"/>
        <c:crosses val="autoZero"/>
        <c:auto val="1"/>
        <c:lblAlgn val="ctr"/>
        <c:lblOffset val="100"/>
        <c:noMultiLvlLbl val="0"/>
      </c:catAx>
      <c:valAx>
        <c:axId val="1421675104"/>
        <c:scaling>
          <c:orientation val="minMax"/>
        </c:scaling>
        <c:delete val="1"/>
        <c:axPos val="l"/>
        <c:numFmt formatCode="General" sourceLinked="1"/>
        <c:majorTickMark val="none"/>
        <c:minorTickMark val="none"/>
        <c:tickLblPos val="nextTo"/>
        <c:crossAx val="1421667200"/>
        <c:crosses val="autoZero"/>
        <c:crossBetween val="between"/>
        <c:majorUnit val="100"/>
      </c:valAx>
      <c:valAx>
        <c:axId val="1582514912"/>
        <c:scaling>
          <c:orientation val="minMax"/>
          <c:max val="400"/>
        </c:scaling>
        <c:delete val="1"/>
        <c:axPos val="r"/>
        <c:numFmt formatCode="General" sourceLinked="1"/>
        <c:majorTickMark val="out"/>
        <c:minorTickMark val="none"/>
        <c:tickLblPos val="nextTo"/>
        <c:crossAx val="1582512832"/>
        <c:crosses val="max"/>
        <c:crossBetween val="between"/>
        <c:majorUnit val="100"/>
      </c:valAx>
      <c:catAx>
        <c:axId val="1582512832"/>
        <c:scaling>
          <c:orientation val="minMax"/>
        </c:scaling>
        <c:delete val="1"/>
        <c:axPos val="b"/>
        <c:numFmt formatCode="General" sourceLinked="1"/>
        <c:majorTickMark val="out"/>
        <c:minorTickMark val="none"/>
        <c:tickLblPos val="nextTo"/>
        <c:crossAx val="1582514912"/>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 Violation and Compliance Data 5.xlsx]Pivot!PivotTable8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lumMod val="50000"/>
                    <a:lumOff val="50000"/>
                  </a:schemeClr>
                </a:solidFill>
              </a:rPr>
              <a:t>Solved</a:t>
            </a:r>
            <a:r>
              <a:rPr lang="en-US" b="1" baseline="0">
                <a:solidFill>
                  <a:schemeClr val="tx1">
                    <a:lumMod val="50000"/>
                    <a:lumOff val="50000"/>
                  </a:schemeClr>
                </a:solidFill>
              </a:rPr>
              <a:t> Violations Compliance</a:t>
            </a:r>
            <a:endParaRPr lang="en-US" b="1">
              <a:solidFill>
                <a:schemeClr val="tx1">
                  <a:lumMod val="50000"/>
                  <a:lumOff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A21"/>
          </a:solidFill>
          <a:ln>
            <a:noFill/>
          </a:ln>
          <a:effectLst>
            <a:outerShdw blurRad="50800" dist="38100" dir="2700000" algn="tl" rotWithShape="0">
              <a:prstClr val="black">
                <a:alpha val="40000"/>
              </a:prstClr>
            </a:outerShdw>
          </a:effectLst>
        </c:spPr>
      </c:pivotFmt>
      <c:pivotFmt>
        <c:idx val="4"/>
        <c:spPr>
          <a:solidFill>
            <a:schemeClr val="tx2">
              <a:lumMod val="10000"/>
              <a:lumOff val="90000"/>
            </a:schemeClr>
          </a:solidFill>
          <a:ln>
            <a:noFill/>
          </a:ln>
          <a:effectLst>
            <a:outerShdw blurRad="50800" dist="38100" dir="2700000" algn="tl" rotWithShape="0">
              <a:prstClr val="black">
                <a:alpha val="40000"/>
              </a:prstClr>
            </a:outerShdw>
          </a:effectLst>
        </c:spPr>
      </c:pivotFmt>
      <c:pivotFmt>
        <c:idx val="5"/>
        <c:spPr>
          <a:solidFill>
            <a:schemeClr val="accent2">
              <a:lumMod val="20000"/>
              <a:lumOff val="80000"/>
            </a:schemeClr>
          </a:solidFill>
          <a:ln>
            <a:noFill/>
          </a:ln>
          <a:effectLst>
            <a:outerShdw blurRad="50800" dist="38100" dir="2700000" algn="tl" rotWithShape="0">
              <a:prstClr val="black">
                <a:alpha val="40000"/>
              </a:prstClr>
            </a:outerShdw>
          </a:effectLst>
        </c:spPr>
      </c:pivotFmt>
      <c:pivotFmt>
        <c:idx val="6"/>
        <c:spPr>
          <a:solidFill>
            <a:schemeClr val="bg1">
              <a:lumMod val="85000"/>
            </a:schemeClr>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0.3977369664635369"/>
          <c:y val="0.26328484981044037"/>
          <c:w val="0.57732795860194952"/>
          <c:h val="0.6293157626130067"/>
        </c:manualLayout>
      </c:layout>
      <c:barChart>
        <c:barDir val="bar"/>
        <c:grouping val="clustered"/>
        <c:varyColors val="0"/>
        <c:ser>
          <c:idx val="0"/>
          <c:order val="0"/>
          <c:tx>
            <c:strRef>
              <c:f>Pivot!$O$3</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bg1">
                  <a:lumMod val="85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B63B-48F3-BAB2-8E67224932C3}"/>
              </c:ext>
            </c:extLst>
          </c:dPt>
          <c:dPt>
            <c:idx val="1"/>
            <c:invertIfNegative val="0"/>
            <c:bubble3D val="0"/>
            <c:spPr>
              <a:solidFill>
                <a:schemeClr val="accent2">
                  <a:lumMod val="20000"/>
                  <a:lumOff val="8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B63B-48F3-BAB2-8E67224932C3}"/>
              </c:ext>
            </c:extLst>
          </c:dPt>
          <c:dPt>
            <c:idx val="2"/>
            <c:invertIfNegative val="0"/>
            <c:bubble3D val="0"/>
            <c:spPr>
              <a:solidFill>
                <a:schemeClr val="tx2">
                  <a:lumMod val="10000"/>
                  <a:lumOff val="9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B63B-48F3-BAB2-8E67224932C3}"/>
              </c:ext>
            </c:extLst>
          </c:dPt>
          <c:dPt>
            <c:idx val="3"/>
            <c:invertIfNegative val="0"/>
            <c:bubble3D val="0"/>
            <c:spPr>
              <a:solidFill>
                <a:srgbClr val="FFCA21"/>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B63B-48F3-BAB2-8E67224932C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Pivot!$N$4:$N$8</c:f>
              <c:strCache>
                <c:ptCount val="4"/>
                <c:pt idx="0">
                  <c:v>Compliant</c:v>
                </c:pt>
                <c:pt idx="1">
                  <c:v>Light Violation</c:v>
                </c:pt>
                <c:pt idx="2">
                  <c:v>Medium Violation</c:v>
                </c:pt>
                <c:pt idx="3">
                  <c:v>Severe Violation</c:v>
                </c:pt>
              </c:strCache>
            </c:strRef>
          </c:cat>
          <c:val>
            <c:numRef>
              <c:f>Pivot!$O$4:$O$8</c:f>
              <c:numCache>
                <c:formatCode>General</c:formatCode>
                <c:ptCount val="4"/>
                <c:pt idx="0">
                  <c:v>409</c:v>
                </c:pt>
                <c:pt idx="1">
                  <c:v>406</c:v>
                </c:pt>
                <c:pt idx="2">
                  <c:v>334</c:v>
                </c:pt>
                <c:pt idx="3">
                  <c:v>1158</c:v>
                </c:pt>
              </c:numCache>
            </c:numRef>
          </c:val>
          <c:extLst>
            <c:ext xmlns:c16="http://schemas.microsoft.com/office/drawing/2014/chart" uri="{C3380CC4-5D6E-409C-BE32-E72D297353CC}">
              <c16:uniqueId val="{00000000-B63B-48F3-BAB2-8E67224932C3}"/>
            </c:ext>
          </c:extLst>
        </c:ser>
        <c:dLbls>
          <c:dLblPos val="outEnd"/>
          <c:showLegendKey val="0"/>
          <c:showVal val="1"/>
          <c:showCatName val="0"/>
          <c:showSerName val="0"/>
          <c:showPercent val="0"/>
          <c:showBubbleSize val="0"/>
        </c:dLbls>
        <c:gapWidth val="33"/>
        <c:axId val="1568965056"/>
        <c:axId val="1568963808"/>
      </c:barChart>
      <c:catAx>
        <c:axId val="156896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963808"/>
        <c:crosses val="autoZero"/>
        <c:auto val="1"/>
        <c:lblAlgn val="ctr"/>
        <c:lblOffset val="100"/>
        <c:noMultiLvlLbl val="0"/>
      </c:catAx>
      <c:valAx>
        <c:axId val="1568963808"/>
        <c:scaling>
          <c:orientation val="minMax"/>
        </c:scaling>
        <c:delete val="1"/>
        <c:axPos val="b"/>
        <c:numFmt formatCode="General" sourceLinked="1"/>
        <c:majorTickMark val="none"/>
        <c:minorTickMark val="none"/>
        <c:tickLblPos val="nextTo"/>
        <c:crossAx val="1568965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 Violation and Compliance Data 5.xlsx]Pivot!PivotTable8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Calibri" panose="020F0502020204030204" pitchFamily="34" charset="0"/>
                <a:ea typeface="Calibri" panose="020F0502020204030204" pitchFamily="34" charset="0"/>
                <a:cs typeface="Calibri" panose="020F0502020204030204" pitchFamily="34" charset="0"/>
              </a:rPr>
              <a:t>Violations</a:t>
            </a:r>
            <a:r>
              <a:rPr lang="en-US" b="1" baseline="0">
                <a:latin typeface="Calibri" panose="020F0502020204030204" pitchFamily="34" charset="0"/>
                <a:ea typeface="Calibri" panose="020F0502020204030204" pitchFamily="34" charset="0"/>
                <a:cs typeface="Calibri" panose="020F0502020204030204" pitchFamily="34" charset="0"/>
              </a:rPr>
              <a:t> by Compliance</a:t>
            </a:r>
            <a:endParaRPr lang="en-US" b="1">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rgbClr val="FFCA21"/>
          </a:solidFill>
          <a:ln w="19050">
            <a:solidFill>
              <a:schemeClr val="lt1"/>
            </a:solidFill>
          </a:ln>
          <a:effectLst>
            <a:outerShdw blurRad="50800" dist="38100" dir="2700000" algn="tl" rotWithShape="0">
              <a:prstClr val="black">
                <a:alpha val="40000"/>
              </a:prstClr>
            </a:outerShdw>
          </a:effectLst>
        </c:spPr>
        <c:dLbl>
          <c:idx val="0"/>
          <c:layout>
            <c:manualLayout>
              <c:x val="-0.1725490906485887"/>
              <c:y val="0.2134332166812481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411776815100332"/>
                  <c:h val="0.17013888888888887"/>
                </c:manualLayout>
              </c15:layout>
            </c:ext>
          </c:extLst>
        </c:dLbl>
      </c:pivotFmt>
      <c:pivotFmt>
        <c:idx val="8"/>
        <c:spPr>
          <a:solidFill>
            <a:schemeClr val="bg1">
              <a:lumMod val="75000"/>
            </a:schemeClr>
          </a:solidFill>
          <a:ln w="19050">
            <a:solidFill>
              <a:schemeClr val="lt1"/>
            </a:solidFill>
          </a:ln>
          <a:effectLst>
            <a:outerShdw blurRad="50800" dist="38100" dir="2700000" algn="tl" rotWithShape="0">
              <a:prstClr val="black">
                <a:alpha val="40000"/>
              </a:prstClr>
            </a:outerShdw>
          </a:effectLst>
        </c:spPr>
        <c:dLbl>
          <c:idx val="0"/>
          <c:layout>
            <c:manualLayout>
              <c:x val="-6.5711724856867854E-2"/>
              <c:y val="-7.77613735783027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358953161012057"/>
                  <c:h val="0.16645851560221639"/>
                </c:manualLayout>
              </c15:layout>
            </c:ext>
          </c:extLst>
        </c:dLbl>
      </c:pivotFmt>
      <c:pivotFmt>
        <c:idx val="9"/>
        <c:spPr>
          <a:solidFill>
            <a:schemeClr val="tx2">
              <a:lumMod val="50000"/>
              <a:lumOff val="50000"/>
            </a:schemeClr>
          </a:solidFill>
          <a:ln w="19050">
            <a:solidFill>
              <a:schemeClr val="lt1"/>
            </a:solidFill>
          </a:ln>
          <a:effectLst>
            <a:outerShdw blurRad="50800" dist="38100" dir="2700000" algn="tl" rotWithShape="0">
              <a:prstClr val="black">
                <a:alpha val="40000"/>
              </a:prstClr>
            </a:outerShdw>
          </a:effectLst>
        </c:spPr>
        <c:dLbl>
          <c:idx val="0"/>
          <c:layout>
            <c:manualLayout>
              <c:x val="-0.15686280968053509"/>
              <c:y val="-0.1226851851851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7320272686026531"/>
                  <c:h val="0.16666666666666666"/>
                </c:manualLayout>
              </c15:layout>
            </c:ext>
          </c:extLst>
        </c:dLbl>
      </c:pivotFmt>
      <c:pivotFmt>
        <c:idx val="10"/>
        <c:spPr>
          <a:solidFill>
            <a:schemeClr val="accent1">
              <a:lumMod val="75000"/>
            </a:schemeClr>
          </a:solidFill>
          <a:ln w="19050">
            <a:solidFill>
              <a:schemeClr val="lt1"/>
            </a:solid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6797396653758077"/>
                  <c:h val="0.16666666666666666"/>
                </c:manualLayout>
              </c15:layout>
            </c:ext>
          </c:extLst>
        </c:dLbl>
      </c:pivotFmt>
    </c:pivotFmts>
    <c:plotArea>
      <c:layout>
        <c:manualLayout>
          <c:layoutTarget val="inner"/>
          <c:xMode val="edge"/>
          <c:yMode val="edge"/>
          <c:x val="8.0489971896442556E-3"/>
          <c:y val="0.13407115777194517"/>
          <c:w val="0.93161481410727764"/>
          <c:h val="0.82486694371536895"/>
        </c:manualLayout>
      </c:layout>
      <c:pieChart>
        <c:varyColors val="1"/>
        <c:ser>
          <c:idx val="0"/>
          <c:order val="0"/>
          <c:tx>
            <c:strRef>
              <c:f>Pivot!$O$3</c:f>
              <c:strCache>
                <c:ptCount val="1"/>
                <c:pt idx="0">
                  <c:v>Total</c:v>
                </c:pt>
              </c:strCache>
            </c:strRef>
          </c:tx>
          <c:spPr>
            <a:effectLst>
              <a:outerShdw blurRad="50800" dist="38100" dir="2700000" algn="tl" rotWithShape="0">
                <a:prstClr val="black">
                  <a:alpha val="40000"/>
                </a:prstClr>
              </a:outerShdw>
            </a:effectLst>
          </c:spPr>
          <c:dPt>
            <c:idx val="0"/>
            <c:bubble3D val="0"/>
            <c:spPr>
              <a:solidFill>
                <a:srgbClr val="FFCA21"/>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FE46-4EB0-93A9-EA063C5111A4}"/>
              </c:ext>
            </c:extLst>
          </c:dPt>
          <c:dPt>
            <c:idx val="1"/>
            <c:bubble3D val="0"/>
            <c:spPr>
              <a:solidFill>
                <a:schemeClr val="bg1">
                  <a:lumMod val="7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FE46-4EB0-93A9-EA063C5111A4}"/>
              </c:ext>
            </c:extLst>
          </c:dPt>
          <c:dPt>
            <c:idx val="2"/>
            <c:bubble3D val="0"/>
            <c:spPr>
              <a:solidFill>
                <a:schemeClr val="tx2">
                  <a:lumMod val="50000"/>
                  <a:lumOff val="50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FE46-4EB0-93A9-EA063C5111A4}"/>
              </c:ext>
            </c:extLst>
          </c:dPt>
          <c:dPt>
            <c:idx val="3"/>
            <c:bubble3D val="0"/>
            <c:spPr>
              <a:solidFill>
                <a:schemeClr val="accent1">
                  <a:lumMod val="75000"/>
                </a:schemeClr>
              </a:solidFill>
              <a:ln w="19050">
                <a:solidFill>
                  <a:schemeClr val="lt1"/>
                </a:solid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FE46-4EB0-93A9-EA063C5111A4}"/>
              </c:ext>
            </c:extLst>
          </c:dPt>
          <c:dLbls>
            <c:dLbl>
              <c:idx val="0"/>
              <c:layout>
                <c:manualLayout>
                  <c:x val="-0.1725490906485887"/>
                  <c:y val="0.2134332166812481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411776815100332"/>
                      <c:h val="0.17013888888888887"/>
                    </c:manualLayout>
                  </c15:layout>
                </c:ext>
                <c:ext xmlns:c16="http://schemas.microsoft.com/office/drawing/2014/chart" uri="{C3380CC4-5D6E-409C-BE32-E72D297353CC}">
                  <c16:uniqueId val="{00000001-FE46-4EB0-93A9-EA063C5111A4}"/>
                </c:ext>
              </c:extLst>
            </c:dLbl>
            <c:dLbl>
              <c:idx val="1"/>
              <c:layout>
                <c:manualLayout>
                  <c:x val="-6.5711724856867854E-2"/>
                  <c:y val="-7.7761373578302713E-3"/>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358953161012057"/>
                      <c:h val="0.16645851560221639"/>
                    </c:manualLayout>
                  </c15:layout>
                </c:ext>
                <c:ext xmlns:c16="http://schemas.microsoft.com/office/drawing/2014/chart" uri="{C3380CC4-5D6E-409C-BE32-E72D297353CC}">
                  <c16:uniqueId val="{00000003-FE46-4EB0-93A9-EA063C5111A4}"/>
                </c:ext>
              </c:extLst>
            </c:dLbl>
            <c:dLbl>
              <c:idx val="2"/>
              <c:layout>
                <c:manualLayout>
                  <c:x val="-0.15686280968053509"/>
                  <c:y val="-0.12268518518518511"/>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7320272686026531"/>
                      <c:h val="0.16666666666666666"/>
                    </c:manualLayout>
                  </c15:layout>
                </c:ext>
                <c:ext xmlns:c16="http://schemas.microsoft.com/office/drawing/2014/chart" uri="{C3380CC4-5D6E-409C-BE32-E72D297353CC}">
                  <c16:uniqueId val="{00000005-FE46-4EB0-93A9-EA063C5111A4}"/>
                </c:ext>
              </c:extLst>
            </c:dLbl>
            <c:dLbl>
              <c:idx val="3"/>
              <c:dLblPos val="bestFit"/>
              <c:showLegendKey val="0"/>
              <c:showVal val="1"/>
              <c:showCatName val="1"/>
              <c:showSerName val="0"/>
              <c:showPercent val="0"/>
              <c:showBubbleSize val="0"/>
              <c:extLst>
                <c:ext xmlns:c15="http://schemas.microsoft.com/office/drawing/2012/chart" uri="{CE6537A1-D6FC-4f65-9D91-7224C49458BB}">
                  <c15:layout>
                    <c:manualLayout>
                      <c:w val="0.26797396653758077"/>
                      <c:h val="0.16666666666666666"/>
                    </c:manualLayout>
                  </c15:layout>
                </c:ext>
                <c:ext xmlns:c16="http://schemas.microsoft.com/office/drawing/2014/chart" uri="{C3380CC4-5D6E-409C-BE32-E72D297353CC}">
                  <c16:uniqueId val="{00000007-FE46-4EB0-93A9-EA063C5111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Pivot!$N$4:$N$8</c:f>
              <c:strCache>
                <c:ptCount val="4"/>
                <c:pt idx="0">
                  <c:v>Compliant</c:v>
                </c:pt>
                <c:pt idx="1">
                  <c:v>Light Violation</c:v>
                </c:pt>
                <c:pt idx="2">
                  <c:v>Medium Violation</c:v>
                </c:pt>
                <c:pt idx="3">
                  <c:v>Severe Violation</c:v>
                </c:pt>
              </c:strCache>
            </c:strRef>
          </c:cat>
          <c:val>
            <c:numRef>
              <c:f>Pivot!$O$4:$O$8</c:f>
              <c:numCache>
                <c:formatCode>General</c:formatCode>
                <c:ptCount val="4"/>
                <c:pt idx="0">
                  <c:v>409</c:v>
                </c:pt>
                <c:pt idx="1">
                  <c:v>406</c:v>
                </c:pt>
                <c:pt idx="2">
                  <c:v>334</c:v>
                </c:pt>
                <c:pt idx="3">
                  <c:v>1158</c:v>
                </c:pt>
              </c:numCache>
            </c:numRef>
          </c:val>
          <c:extLst>
            <c:ext xmlns:c16="http://schemas.microsoft.com/office/drawing/2014/chart" uri="{C3380CC4-5D6E-409C-BE32-E72D297353CC}">
              <c16:uniqueId val="{00000008-FE46-4EB0-93A9-EA063C5111A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[Traffic Violation and Compliance Data 5.xlsx]Pivot!PivotTable10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Violations</a:t>
            </a:r>
            <a:r>
              <a:rPr lang="en-US" b="1" baseline="0"/>
              <a:t> Status by Compliance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A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05159792466906E-2"/>
          <c:y val="0.18981481481481483"/>
          <c:w val="0.96333564045304099"/>
          <c:h val="0.46269247594050744"/>
        </c:manualLayout>
      </c:layout>
      <c:barChart>
        <c:barDir val="col"/>
        <c:grouping val="clustered"/>
        <c:varyColors val="0"/>
        <c:ser>
          <c:idx val="0"/>
          <c:order val="0"/>
          <c:tx>
            <c:strRef>
              <c:f>Pivot!$U$3</c:f>
              <c:strCache>
                <c:ptCount val="1"/>
                <c:pt idx="0">
                  <c:v> Active Violations</c:v>
                </c:pt>
              </c:strCache>
            </c:strRef>
          </c:tx>
          <c:spPr>
            <a:solidFill>
              <a:srgbClr val="FFCA2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Pivot!$T$4:$T$8</c:f>
              <c:strCache>
                <c:ptCount val="4"/>
                <c:pt idx="0">
                  <c:v>Severe Violation</c:v>
                </c:pt>
                <c:pt idx="1">
                  <c:v>Medium Violation</c:v>
                </c:pt>
                <c:pt idx="2">
                  <c:v>Light Violation</c:v>
                </c:pt>
                <c:pt idx="3">
                  <c:v>Compliant</c:v>
                </c:pt>
              </c:strCache>
            </c:strRef>
          </c:cat>
          <c:val>
            <c:numRef>
              <c:f>Pivot!$U$4:$U$8</c:f>
              <c:numCache>
                <c:formatCode>General</c:formatCode>
                <c:ptCount val="4"/>
                <c:pt idx="0">
                  <c:v>310</c:v>
                </c:pt>
                <c:pt idx="1">
                  <c:v>190</c:v>
                </c:pt>
                <c:pt idx="2">
                  <c:v>131</c:v>
                </c:pt>
                <c:pt idx="3">
                  <c:v>89</c:v>
                </c:pt>
              </c:numCache>
            </c:numRef>
          </c:val>
          <c:extLst>
            <c:ext xmlns:c16="http://schemas.microsoft.com/office/drawing/2014/chart" uri="{C3380CC4-5D6E-409C-BE32-E72D297353CC}">
              <c16:uniqueId val="{00000000-6FF2-4266-AB4E-B14A234DCB17}"/>
            </c:ext>
          </c:extLst>
        </c:ser>
        <c:ser>
          <c:idx val="1"/>
          <c:order val="1"/>
          <c:tx>
            <c:strRef>
              <c:f>Pivot!$V$3</c:f>
              <c:strCache>
                <c:ptCount val="1"/>
                <c:pt idx="0">
                  <c:v>  Solved Violations</c:v>
                </c:pt>
              </c:strCache>
            </c:strRef>
          </c:tx>
          <c:spPr>
            <a:solidFill>
              <a:srgbClr val="00B0F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Pivot!$T$4:$T$8</c:f>
              <c:strCache>
                <c:ptCount val="4"/>
                <c:pt idx="0">
                  <c:v>Severe Violation</c:v>
                </c:pt>
                <c:pt idx="1">
                  <c:v>Medium Violation</c:v>
                </c:pt>
                <c:pt idx="2">
                  <c:v>Light Violation</c:v>
                </c:pt>
                <c:pt idx="3">
                  <c:v>Compliant</c:v>
                </c:pt>
              </c:strCache>
            </c:strRef>
          </c:cat>
          <c:val>
            <c:numRef>
              <c:f>Pivot!$V$4:$V$8</c:f>
              <c:numCache>
                <c:formatCode>General</c:formatCode>
                <c:ptCount val="4"/>
                <c:pt idx="0">
                  <c:v>471</c:v>
                </c:pt>
                <c:pt idx="1">
                  <c:v>191</c:v>
                </c:pt>
                <c:pt idx="2">
                  <c:v>235</c:v>
                </c:pt>
                <c:pt idx="3">
                  <c:v>144</c:v>
                </c:pt>
              </c:numCache>
            </c:numRef>
          </c:val>
          <c:extLst>
            <c:ext xmlns:c16="http://schemas.microsoft.com/office/drawing/2014/chart" uri="{C3380CC4-5D6E-409C-BE32-E72D297353CC}">
              <c16:uniqueId val="{00000001-6FF2-4266-AB4E-B14A234DCB17}"/>
            </c:ext>
          </c:extLst>
        </c:ser>
        <c:ser>
          <c:idx val="2"/>
          <c:order val="2"/>
          <c:tx>
            <c:strRef>
              <c:f>Pivot!$W$3</c:f>
              <c:strCache>
                <c:ptCount val="1"/>
                <c:pt idx="0">
                  <c:v>  Ignored Violations</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Pivot!$T$4:$T$8</c:f>
              <c:strCache>
                <c:ptCount val="4"/>
                <c:pt idx="0">
                  <c:v>Severe Violation</c:v>
                </c:pt>
                <c:pt idx="1">
                  <c:v>Medium Violation</c:v>
                </c:pt>
                <c:pt idx="2">
                  <c:v>Light Violation</c:v>
                </c:pt>
                <c:pt idx="3">
                  <c:v>Compliant</c:v>
                </c:pt>
              </c:strCache>
            </c:strRef>
          </c:cat>
          <c:val>
            <c:numRef>
              <c:f>Pivot!$W$4:$W$8</c:f>
              <c:numCache>
                <c:formatCode>General</c:formatCode>
                <c:ptCount val="4"/>
                <c:pt idx="0">
                  <c:v>217</c:v>
                </c:pt>
                <c:pt idx="1">
                  <c:v>106</c:v>
                </c:pt>
                <c:pt idx="2">
                  <c:v>114</c:v>
                </c:pt>
                <c:pt idx="3">
                  <c:v>94</c:v>
                </c:pt>
              </c:numCache>
            </c:numRef>
          </c:val>
          <c:extLst>
            <c:ext xmlns:c16="http://schemas.microsoft.com/office/drawing/2014/chart" uri="{C3380CC4-5D6E-409C-BE32-E72D297353CC}">
              <c16:uniqueId val="{00000002-6FF2-4266-AB4E-B14A234DCB17}"/>
            </c:ext>
          </c:extLst>
        </c:ser>
        <c:dLbls>
          <c:dLblPos val="outEnd"/>
          <c:showLegendKey val="0"/>
          <c:showVal val="1"/>
          <c:showCatName val="0"/>
          <c:showSerName val="0"/>
          <c:showPercent val="0"/>
          <c:showBubbleSize val="0"/>
        </c:dLbls>
        <c:gapWidth val="150"/>
        <c:overlap val="-27"/>
        <c:axId val="1297753232"/>
        <c:axId val="1297744912"/>
      </c:barChart>
      <c:catAx>
        <c:axId val="129775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744912"/>
        <c:crosses val="autoZero"/>
        <c:auto val="1"/>
        <c:lblAlgn val="ctr"/>
        <c:lblOffset val="100"/>
        <c:noMultiLvlLbl val="0"/>
      </c:catAx>
      <c:valAx>
        <c:axId val="1297744912"/>
        <c:scaling>
          <c:orientation val="minMax"/>
        </c:scaling>
        <c:delete val="1"/>
        <c:axPos val="l"/>
        <c:numFmt formatCode="General" sourceLinked="1"/>
        <c:majorTickMark val="none"/>
        <c:minorTickMark val="none"/>
        <c:tickLblPos val="nextTo"/>
        <c:crossAx val="1297753232"/>
        <c:crosses val="autoZero"/>
        <c:crossBetween val="between"/>
        <c:majorUnit val="100"/>
      </c:valAx>
      <c:spPr>
        <a:noFill/>
        <a:ln>
          <a:noFill/>
        </a:ln>
        <a:effectLst/>
      </c:spPr>
    </c:plotArea>
    <c:legend>
      <c:legendPos val="b"/>
      <c:layout>
        <c:manualLayout>
          <c:xMode val="edge"/>
          <c:yMode val="edge"/>
          <c:x val="4.3119215361237757E-2"/>
          <c:y val="0.82291557305336838"/>
          <c:w val="0.94246970324881651"/>
          <c:h val="0.1493066491688538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14.xml"/><Relationship Id="rId3" Type="http://schemas.openxmlformats.org/officeDocument/2006/relationships/image" Target="../media/image3.jpeg"/><Relationship Id="rId7" Type="http://schemas.openxmlformats.org/officeDocument/2006/relationships/chart" Target="../charts/chart12.xml"/><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image" Target="../media/image2.png"/><Relationship Id="rId16" Type="http://schemas.openxmlformats.org/officeDocument/2006/relationships/chart" Target="../charts/chart17.xml"/><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image" Target="../media/image7.jpeg"/><Relationship Id="rId5" Type="http://schemas.openxmlformats.org/officeDocument/2006/relationships/chart" Target="../charts/chart10.xml"/><Relationship Id="rId15" Type="http://schemas.openxmlformats.org/officeDocument/2006/relationships/chart" Target="../charts/chart16.xml"/><Relationship Id="rId10" Type="http://schemas.openxmlformats.org/officeDocument/2006/relationships/image" Target="../media/image6.png"/><Relationship Id="rId4" Type="http://schemas.openxmlformats.org/officeDocument/2006/relationships/chart" Target="../charts/chart9.xml"/><Relationship Id="rId9" Type="http://schemas.openxmlformats.org/officeDocument/2006/relationships/image" Target="../media/image5.jpeg"/><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6</xdr:col>
      <xdr:colOff>452437</xdr:colOff>
      <xdr:row>21</xdr:row>
      <xdr:rowOff>104775</xdr:rowOff>
    </xdr:from>
    <xdr:to>
      <xdr:col>13</xdr:col>
      <xdr:colOff>100012</xdr:colOff>
      <xdr:row>36</xdr:row>
      <xdr:rowOff>85725</xdr:rowOff>
    </xdr:to>
    <xdr:graphicFrame macro="">
      <xdr:nvGraphicFramePr>
        <xdr:cNvPr id="2" name="Chart 1">
          <a:extLst>
            <a:ext uri="{FF2B5EF4-FFF2-40B4-BE49-F238E27FC236}">
              <a16:creationId xmlns:a16="http://schemas.microsoft.com/office/drawing/2014/main" id="{92C3CCF6-BBB3-4A6A-BEB0-E62235D3DA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400050</xdr:colOff>
      <xdr:row>21</xdr:row>
      <xdr:rowOff>104775</xdr:rowOff>
    </xdr:from>
    <xdr:to>
      <xdr:col>9</xdr:col>
      <xdr:colOff>104775</xdr:colOff>
      <xdr:row>36</xdr:row>
      <xdr:rowOff>85725</xdr:rowOff>
    </xdr:to>
    <xdr:graphicFrame macro="">
      <xdr:nvGraphicFramePr>
        <xdr:cNvPr id="4" name="Chart 3">
          <a:extLst>
            <a:ext uri="{FF2B5EF4-FFF2-40B4-BE49-F238E27FC236}">
              <a16:creationId xmlns:a16="http://schemas.microsoft.com/office/drawing/2014/main" id="{3AF854EF-1A49-440F-ABF7-FCA02CB403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581024</xdr:colOff>
      <xdr:row>13</xdr:row>
      <xdr:rowOff>9525</xdr:rowOff>
    </xdr:from>
    <xdr:to>
      <xdr:col>4</xdr:col>
      <xdr:colOff>180974</xdr:colOff>
      <xdr:row>27</xdr:row>
      <xdr:rowOff>95250</xdr:rowOff>
    </xdr:to>
    <xdr:graphicFrame macro="">
      <xdr:nvGraphicFramePr>
        <xdr:cNvPr id="5" name="Chart 4">
          <a:extLst>
            <a:ext uri="{FF2B5EF4-FFF2-40B4-BE49-F238E27FC236}">
              <a16:creationId xmlns:a16="http://schemas.microsoft.com/office/drawing/2014/main" id="{A618D115-4699-4B07-BC1B-0B86C2561A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22</xdr:row>
      <xdr:rowOff>133350</xdr:rowOff>
    </xdr:from>
    <xdr:to>
      <xdr:col>3</xdr:col>
      <xdr:colOff>628650</xdr:colOff>
      <xdr:row>37</xdr:row>
      <xdr:rowOff>123825</xdr:rowOff>
    </xdr:to>
    <xdr:graphicFrame macro="">
      <xdr:nvGraphicFramePr>
        <xdr:cNvPr id="6" name="Chart 5">
          <a:extLst>
            <a:ext uri="{FF2B5EF4-FFF2-40B4-BE49-F238E27FC236}">
              <a16:creationId xmlns:a16="http://schemas.microsoft.com/office/drawing/2014/main" id="{68614D2F-EBE0-446F-8A1E-50903A053F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809625</xdr:colOff>
      <xdr:row>14</xdr:row>
      <xdr:rowOff>57150</xdr:rowOff>
    </xdr:from>
    <xdr:to>
      <xdr:col>6</xdr:col>
      <xdr:colOff>619125</xdr:colOff>
      <xdr:row>28</xdr:row>
      <xdr:rowOff>152400</xdr:rowOff>
    </xdr:to>
    <xdr:graphicFrame macro="">
      <xdr:nvGraphicFramePr>
        <xdr:cNvPr id="7" name="Chart 6">
          <a:extLst>
            <a:ext uri="{FF2B5EF4-FFF2-40B4-BE49-F238E27FC236}">
              <a16:creationId xmlns:a16="http://schemas.microsoft.com/office/drawing/2014/main" id="{D413787A-802F-4445-ACA1-8880B1B9F4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209550</xdr:colOff>
      <xdr:row>5</xdr:row>
      <xdr:rowOff>66675</xdr:rowOff>
    </xdr:from>
    <xdr:to>
      <xdr:col>8</xdr:col>
      <xdr:colOff>238125</xdr:colOff>
      <xdr:row>19</xdr:row>
      <xdr:rowOff>142875</xdr:rowOff>
    </xdr:to>
    <xdr:graphicFrame macro="">
      <xdr:nvGraphicFramePr>
        <xdr:cNvPr id="8" name="Chart 7">
          <a:extLst>
            <a:ext uri="{FF2B5EF4-FFF2-40B4-BE49-F238E27FC236}">
              <a16:creationId xmlns:a16="http://schemas.microsoft.com/office/drawing/2014/main" id="{5C675944-DCF4-4966-9693-6223DEC287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209550</xdr:colOff>
      <xdr:row>5</xdr:row>
      <xdr:rowOff>66675</xdr:rowOff>
    </xdr:from>
    <xdr:to>
      <xdr:col>11</xdr:col>
      <xdr:colOff>19050</xdr:colOff>
      <xdr:row>19</xdr:row>
      <xdr:rowOff>142875</xdr:rowOff>
    </xdr:to>
    <xdr:graphicFrame macro="">
      <xdr:nvGraphicFramePr>
        <xdr:cNvPr id="9" name="Chart 8">
          <a:extLst>
            <a:ext uri="{FF2B5EF4-FFF2-40B4-BE49-F238E27FC236}">
              <a16:creationId xmlns:a16="http://schemas.microsoft.com/office/drawing/2014/main" id="{79122C01-C081-43CC-BA48-38E3A8045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447675</xdr:colOff>
      <xdr:row>12</xdr:row>
      <xdr:rowOff>19050</xdr:rowOff>
    </xdr:from>
    <xdr:to>
      <xdr:col>21</xdr:col>
      <xdr:colOff>390525</xdr:colOff>
      <xdr:row>26</xdr:row>
      <xdr:rowOff>95250</xdr:rowOff>
    </xdr:to>
    <xdr:graphicFrame macro="">
      <xdr:nvGraphicFramePr>
        <xdr:cNvPr id="10" name="Chart 9">
          <a:extLst>
            <a:ext uri="{FF2B5EF4-FFF2-40B4-BE49-F238E27FC236}">
              <a16:creationId xmlns:a16="http://schemas.microsoft.com/office/drawing/2014/main" id="{F9923BCC-0B1A-4C5D-9DA8-CC0ECEAAA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1000125</xdr:colOff>
      <xdr:row>6</xdr:row>
      <xdr:rowOff>19050</xdr:rowOff>
    </xdr:from>
    <xdr:to>
      <xdr:col>5</xdr:col>
      <xdr:colOff>609600</xdr:colOff>
      <xdr:row>19</xdr:row>
      <xdr:rowOff>66675</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6A2ECE62-13C8-4C7D-ACED-266E6BD325B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933825" y="1152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130969</xdr:colOff>
      <xdr:row>0</xdr:row>
      <xdr:rowOff>71437</xdr:rowOff>
    </xdr:from>
    <xdr:to>
      <xdr:col>20</xdr:col>
      <xdr:colOff>619125</xdr:colOff>
      <xdr:row>49</xdr:row>
      <xdr:rowOff>71437</xdr:rowOff>
    </xdr:to>
    <xdr:sp macro="" textlink="">
      <xdr:nvSpPr>
        <xdr:cNvPr id="9" name="Rectangle 8">
          <a:extLst>
            <a:ext uri="{FF2B5EF4-FFF2-40B4-BE49-F238E27FC236}">
              <a16:creationId xmlns:a16="http://schemas.microsoft.com/office/drawing/2014/main" id="{0BE5B144-FFF3-4659-96D6-AF8A128D86CC}"/>
            </a:ext>
          </a:extLst>
        </xdr:cNvPr>
        <xdr:cNvSpPr/>
      </xdr:nvSpPr>
      <xdr:spPr>
        <a:xfrm>
          <a:off x="130969" y="71437"/>
          <a:ext cx="14299406" cy="8751094"/>
        </a:xfrm>
        <a:prstGeom prst="rect">
          <a:avLst/>
        </a:prstGeom>
        <a:solidFill>
          <a:srgbClr val="80808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178594</xdr:colOff>
      <xdr:row>0</xdr:row>
      <xdr:rowOff>130969</xdr:rowOff>
    </xdr:from>
    <xdr:to>
      <xdr:col>20</xdr:col>
      <xdr:colOff>595311</xdr:colOff>
      <xdr:row>7</xdr:row>
      <xdr:rowOff>107156</xdr:rowOff>
    </xdr:to>
    <xdr:sp macro="" textlink="">
      <xdr:nvSpPr>
        <xdr:cNvPr id="10" name="Rectangle: Rounded Corners 9">
          <a:extLst>
            <a:ext uri="{FF2B5EF4-FFF2-40B4-BE49-F238E27FC236}">
              <a16:creationId xmlns:a16="http://schemas.microsoft.com/office/drawing/2014/main" id="{058901F8-3278-4BAB-AEF2-8EFDD54F793A}"/>
            </a:ext>
          </a:extLst>
        </xdr:cNvPr>
        <xdr:cNvSpPr/>
      </xdr:nvSpPr>
      <xdr:spPr>
        <a:xfrm>
          <a:off x="178594" y="130969"/>
          <a:ext cx="14227967" cy="1226343"/>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0</xdr:col>
      <xdr:colOff>164307</xdr:colOff>
      <xdr:row>7</xdr:row>
      <xdr:rowOff>164307</xdr:rowOff>
    </xdr:from>
    <xdr:to>
      <xdr:col>3</xdr:col>
      <xdr:colOff>654843</xdr:colOff>
      <xdr:row>14</xdr:row>
      <xdr:rowOff>80963</xdr:rowOff>
    </xdr:to>
    <xdr:sp macro="" textlink="">
      <xdr:nvSpPr>
        <xdr:cNvPr id="11" name="Rectangle: Rounded Corners 10">
          <a:extLst>
            <a:ext uri="{FF2B5EF4-FFF2-40B4-BE49-F238E27FC236}">
              <a16:creationId xmlns:a16="http://schemas.microsoft.com/office/drawing/2014/main" id="{42356D14-9BA8-4390-A432-BFA4D5BCAFE1}"/>
            </a:ext>
          </a:extLst>
        </xdr:cNvPr>
        <xdr:cNvSpPr/>
      </xdr:nvSpPr>
      <xdr:spPr>
        <a:xfrm>
          <a:off x="164307" y="1414463"/>
          <a:ext cx="2562224" cy="1166813"/>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680244</xdr:colOff>
      <xdr:row>7</xdr:row>
      <xdr:rowOff>161925</xdr:rowOff>
    </xdr:from>
    <xdr:to>
      <xdr:col>7</xdr:col>
      <xdr:colOff>542131</xdr:colOff>
      <xdr:row>14</xdr:row>
      <xdr:rowOff>78581</xdr:rowOff>
    </xdr:to>
    <xdr:sp macro="" textlink="">
      <xdr:nvSpPr>
        <xdr:cNvPr id="12" name="Rectangle: Rounded Corners 11">
          <a:extLst>
            <a:ext uri="{FF2B5EF4-FFF2-40B4-BE49-F238E27FC236}">
              <a16:creationId xmlns:a16="http://schemas.microsoft.com/office/drawing/2014/main" id="{3FF25E9F-ACAA-4EFA-A5A1-B86AA4112898}"/>
            </a:ext>
          </a:extLst>
        </xdr:cNvPr>
        <xdr:cNvSpPr/>
      </xdr:nvSpPr>
      <xdr:spPr>
        <a:xfrm>
          <a:off x="2751932" y="1412081"/>
          <a:ext cx="2624137" cy="1166813"/>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603251</xdr:colOff>
      <xdr:row>8</xdr:row>
      <xdr:rowOff>28575</xdr:rowOff>
    </xdr:from>
    <xdr:to>
      <xdr:col>11</xdr:col>
      <xdr:colOff>465138</xdr:colOff>
      <xdr:row>14</xdr:row>
      <xdr:rowOff>123825</xdr:rowOff>
    </xdr:to>
    <xdr:sp macro="" textlink="">
      <xdr:nvSpPr>
        <xdr:cNvPr id="13" name="Rectangle: Rounded Corners 12">
          <a:extLst>
            <a:ext uri="{FF2B5EF4-FFF2-40B4-BE49-F238E27FC236}">
              <a16:creationId xmlns:a16="http://schemas.microsoft.com/office/drawing/2014/main" id="{727B4136-3981-4A9F-AE26-E19441E9B819}"/>
            </a:ext>
          </a:extLst>
        </xdr:cNvPr>
        <xdr:cNvSpPr/>
      </xdr:nvSpPr>
      <xdr:spPr>
        <a:xfrm>
          <a:off x="5437189" y="1457325"/>
          <a:ext cx="2624137" cy="1166813"/>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514350</xdr:colOff>
      <xdr:row>8</xdr:row>
      <xdr:rowOff>38100</xdr:rowOff>
    </xdr:from>
    <xdr:to>
      <xdr:col>15</xdr:col>
      <xdr:colOff>440531</xdr:colOff>
      <xdr:row>14</xdr:row>
      <xdr:rowOff>133350</xdr:rowOff>
    </xdr:to>
    <xdr:sp macro="" textlink="">
      <xdr:nvSpPr>
        <xdr:cNvPr id="14" name="Rectangle: Rounded Corners 13">
          <a:extLst>
            <a:ext uri="{FF2B5EF4-FFF2-40B4-BE49-F238E27FC236}">
              <a16:creationId xmlns:a16="http://schemas.microsoft.com/office/drawing/2014/main" id="{EDB9C348-E0CE-4228-8BE4-CAE888446263}"/>
            </a:ext>
          </a:extLst>
        </xdr:cNvPr>
        <xdr:cNvSpPr/>
      </xdr:nvSpPr>
      <xdr:spPr>
        <a:xfrm>
          <a:off x="8110538" y="1466850"/>
          <a:ext cx="2688431" cy="1166813"/>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142874</xdr:colOff>
      <xdr:row>14</xdr:row>
      <xdr:rowOff>150018</xdr:rowOff>
    </xdr:from>
    <xdr:to>
      <xdr:col>6</xdr:col>
      <xdr:colOff>59530</xdr:colOff>
      <xdr:row>31</xdr:row>
      <xdr:rowOff>142874</xdr:rowOff>
    </xdr:to>
    <xdr:sp macro="" textlink="">
      <xdr:nvSpPr>
        <xdr:cNvPr id="15" name="Rectangle: Rounded Corners 14">
          <a:extLst>
            <a:ext uri="{FF2B5EF4-FFF2-40B4-BE49-F238E27FC236}">
              <a16:creationId xmlns:a16="http://schemas.microsoft.com/office/drawing/2014/main" id="{C9C2C45E-5D15-49CF-8C53-94CFA75A305F}"/>
            </a:ext>
          </a:extLst>
        </xdr:cNvPr>
        <xdr:cNvSpPr/>
      </xdr:nvSpPr>
      <xdr:spPr>
        <a:xfrm>
          <a:off x="142874" y="2650331"/>
          <a:ext cx="4060031" cy="3028949"/>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111920</xdr:colOff>
      <xdr:row>14</xdr:row>
      <xdr:rowOff>159542</xdr:rowOff>
    </xdr:from>
    <xdr:to>
      <xdr:col>11</xdr:col>
      <xdr:colOff>190500</xdr:colOff>
      <xdr:row>31</xdr:row>
      <xdr:rowOff>154781</xdr:rowOff>
    </xdr:to>
    <xdr:sp macro="" textlink="">
      <xdr:nvSpPr>
        <xdr:cNvPr id="16" name="Rectangle: Rounded Corners 15">
          <a:extLst>
            <a:ext uri="{FF2B5EF4-FFF2-40B4-BE49-F238E27FC236}">
              <a16:creationId xmlns:a16="http://schemas.microsoft.com/office/drawing/2014/main" id="{1D32425D-54B0-4B97-AF48-C786224A323D}"/>
            </a:ext>
          </a:extLst>
        </xdr:cNvPr>
        <xdr:cNvSpPr/>
      </xdr:nvSpPr>
      <xdr:spPr>
        <a:xfrm>
          <a:off x="4255295" y="2659855"/>
          <a:ext cx="3531393" cy="3031332"/>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240506</xdr:colOff>
      <xdr:row>15</xdr:row>
      <xdr:rowOff>26192</xdr:rowOff>
    </xdr:from>
    <xdr:to>
      <xdr:col>15</xdr:col>
      <xdr:colOff>488155</xdr:colOff>
      <xdr:row>31</xdr:row>
      <xdr:rowOff>142875</xdr:rowOff>
    </xdr:to>
    <xdr:sp macro="" textlink="">
      <xdr:nvSpPr>
        <xdr:cNvPr id="17" name="Rectangle: Rounded Corners 16">
          <a:extLst>
            <a:ext uri="{FF2B5EF4-FFF2-40B4-BE49-F238E27FC236}">
              <a16:creationId xmlns:a16="http://schemas.microsoft.com/office/drawing/2014/main" id="{C5F85333-8914-43BE-98AC-909AC185BF71}"/>
            </a:ext>
          </a:extLst>
        </xdr:cNvPr>
        <xdr:cNvSpPr/>
      </xdr:nvSpPr>
      <xdr:spPr>
        <a:xfrm>
          <a:off x="7836694" y="2705098"/>
          <a:ext cx="3009899" cy="2974183"/>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547687</xdr:colOff>
      <xdr:row>7</xdr:row>
      <xdr:rowOff>154782</xdr:rowOff>
    </xdr:from>
    <xdr:to>
      <xdr:col>20</xdr:col>
      <xdr:colOff>595313</xdr:colOff>
      <xdr:row>31</xdr:row>
      <xdr:rowOff>119064</xdr:rowOff>
    </xdr:to>
    <xdr:sp macro="" textlink="">
      <xdr:nvSpPr>
        <xdr:cNvPr id="21" name="Rectangle: Rounded Corners 20">
          <a:extLst>
            <a:ext uri="{FF2B5EF4-FFF2-40B4-BE49-F238E27FC236}">
              <a16:creationId xmlns:a16="http://schemas.microsoft.com/office/drawing/2014/main" id="{E3D9445E-56E3-4416-8464-90DC34F2993C}"/>
            </a:ext>
          </a:extLst>
        </xdr:cNvPr>
        <xdr:cNvSpPr/>
      </xdr:nvSpPr>
      <xdr:spPr>
        <a:xfrm>
          <a:off x="10906125" y="1404938"/>
          <a:ext cx="3500438" cy="4250532"/>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152400</xdr:colOff>
      <xdr:row>32</xdr:row>
      <xdr:rowOff>16668</xdr:rowOff>
    </xdr:from>
    <xdr:to>
      <xdr:col>6</xdr:col>
      <xdr:colOff>69056</xdr:colOff>
      <xdr:row>49</xdr:row>
      <xdr:rowOff>9523</xdr:rowOff>
    </xdr:to>
    <xdr:sp macro="" textlink="">
      <xdr:nvSpPr>
        <xdr:cNvPr id="22" name="Rectangle: Rounded Corners 21">
          <a:extLst>
            <a:ext uri="{FF2B5EF4-FFF2-40B4-BE49-F238E27FC236}">
              <a16:creationId xmlns:a16="http://schemas.microsoft.com/office/drawing/2014/main" id="{DBAD2817-73FD-499D-8698-FE0986FD9F65}"/>
            </a:ext>
          </a:extLst>
        </xdr:cNvPr>
        <xdr:cNvSpPr/>
      </xdr:nvSpPr>
      <xdr:spPr>
        <a:xfrm>
          <a:off x="152400" y="5731668"/>
          <a:ext cx="4060031" cy="3028949"/>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145257</xdr:colOff>
      <xdr:row>32</xdr:row>
      <xdr:rowOff>26192</xdr:rowOff>
    </xdr:from>
    <xdr:to>
      <xdr:col>11</xdr:col>
      <xdr:colOff>223837</xdr:colOff>
      <xdr:row>49</xdr:row>
      <xdr:rowOff>21430</xdr:rowOff>
    </xdr:to>
    <xdr:sp macro="" textlink="">
      <xdr:nvSpPr>
        <xdr:cNvPr id="23" name="Rectangle: Rounded Corners 22">
          <a:extLst>
            <a:ext uri="{FF2B5EF4-FFF2-40B4-BE49-F238E27FC236}">
              <a16:creationId xmlns:a16="http://schemas.microsoft.com/office/drawing/2014/main" id="{D4FC43D2-9ECA-4B8D-8E60-B21C6ED815B1}"/>
            </a:ext>
          </a:extLst>
        </xdr:cNvPr>
        <xdr:cNvSpPr/>
      </xdr:nvSpPr>
      <xdr:spPr>
        <a:xfrm>
          <a:off x="4288632" y="5741192"/>
          <a:ext cx="3531393" cy="3031332"/>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297657</xdr:colOff>
      <xdr:row>32</xdr:row>
      <xdr:rowOff>23813</xdr:rowOff>
    </xdr:from>
    <xdr:to>
      <xdr:col>15</xdr:col>
      <xdr:colOff>450057</xdr:colOff>
      <xdr:row>48</xdr:row>
      <xdr:rowOff>176213</xdr:rowOff>
    </xdr:to>
    <xdr:sp macro="" textlink="">
      <xdr:nvSpPr>
        <xdr:cNvPr id="24" name="Rectangle: Rounded Corners 23">
          <a:extLst>
            <a:ext uri="{FF2B5EF4-FFF2-40B4-BE49-F238E27FC236}">
              <a16:creationId xmlns:a16="http://schemas.microsoft.com/office/drawing/2014/main" id="{AF1F5926-735B-4239-B3F4-D8A82FBA3B5D}"/>
            </a:ext>
          </a:extLst>
        </xdr:cNvPr>
        <xdr:cNvSpPr/>
      </xdr:nvSpPr>
      <xdr:spPr>
        <a:xfrm>
          <a:off x="7893845" y="5738813"/>
          <a:ext cx="2914650" cy="30099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478632</xdr:colOff>
      <xdr:row>31</xdr:row>
      <xdr:rowOff>166689</xdr:rowOff>
    </xdr:from>
    <xdr:to>
      <xdr:col>20</xdr:col>
      <xdr:colOff>616744</xdr:colOff>
      <xdr:row>49</xdr:row>
      <xdr:rowOff>35719</xdr:rowOff>
    </xdr:to>
    <xdr:sp macro="" textlink="">
      <xdr:nvSpPr>
        <xdr:cNvPr id="25" name="Rectangle: Rounded Corners 24">
          <a:extLst>
            <a:ext uri="{FF2B5EF4-FFF2-40B4-BE49-F238E27FC236}">
              <a16:creationId xmlns:a16="http://schemas.microsoft.com/office/drawing/2014/main" id="{C6A05BD9-57EB-44CB-BE4D-AB2034CB13EB}"/>
            </a:ext>
          </a:extLst>
        </xdr:cNvPr>
        <xdr:cNvSpPr/>
      </xdr:nvSpPr>
      <xdr:spPr>
        <a:xfrm>
          <a:off x="10837070" y="5703095"/>
          <a:ext cx="3590924" cy="3083718"/>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369094</xdr:colOff>
      <xdr:row>1</xdr:row>
      <xdr:rowOff>35718</xdr:rowOff>
    </xdr:from>
    <xdr:to>
      <xdr:col>2</xdr:col>
      <xdr:colOff>392906</xdr:colOff>
      <xdr:row>7</xdr:row>
      <xdr:rowOff>0</xdr:rowOff>
    </xdr:to>
    <xdr:pic>
      <xdr:nvPicPr>
        <xdr:cNvPr id="27" name="Picture 26">
          <a:extLst>
            <a:ext uri="{FF2B5EF4-FFF2-40B4-BE49-F238E27FC236}">
              <a16:creationId xmlns:a16="http://schemas.microsoft.com/office/drawing/2014/main" id="{879EC09A-1403-4AFF-92A8-267D32B7F11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094" y="214312"/>
          <a:ext cx="1404937" cy="1035844"/>
        </a:xfrm>
        <a:prstGeom prst="rect">
          <a:avLst/>
        </a:prstGeom>
      </xdr:spPr>
    </xdr:pic>
    <xdr:clientData/>
  </xdr:twoCellAnchor>
  <xdr:twoCellAnchor editAs="oneCell">
    <xdr:from>
      <xdr:col>2</xdr:col>
      <xdr:colOff>392907</xdr:colOff>
      <xdr:row>1</xdr:row>
      <xdr:rowOff>11906</xdr:rowOff>
    </xdr:from>
    <xdr:to>
      <xdr:col>4</xdr:col>
      <xdr:colOff>488157</xdr:colOff>
      <xdr:row>7</xdr:row>
      <xdr:rowOff>11906</xdr:rowOff>
    </xdr:to>
    <xdr:pic>
      <xdr:nvPicPr>
        <xdr:cNvPr id="29" name="Picture 28">
          <a:extLst>
            <a:ext uri="{FF2B5EF4-FFF2-40B4-BE49-F238E27FC236}">
              <a16:creationId xmlns:a16="http://schemas.microsoft.com/office/drawing/2014/main" id="{37E8DE3B-7A3B-46F7-8695-E8C05F28610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74032" y="190500"/>
          <a:ext cx="1476375" cy="1071562"/>
        </a:xfrm>
        <a:prstGeom prst="rect">
          <a:avLst/>
        </a:prstGeom>
      </xdr:spPr>
    </xdr:pic>
    <xdr:clientData/>
  </xdr:twoCellAnchor>
  <xdr:twoCellAnchor>
    <xdr:from>
      <xdr:col>4</xdr:col>
      <xdr:colOff>642937</xdr:colOff>
      <xdr:row>2</xdr:row>
      <xdr:rowOff>-1</xdr:rowOff>
    </xdr:from>
    <xdr:to>
      <xdr:col>20</xdr:col>
      <xdr:colOff>47625</xdr:colOff>
      <xdr:row>6</xdr:row>
      <xdr:rowOff>59531</xdr:rowOff>
    </xdr:to>
    <xdr:sp macro="" textlink="">
      <xdr:nvSpPr>
        <xdr:cNvPr id="30" name="TextBox 29">
          <a:extLst>
            <a:ext uri="{FF2B5EF4-FFF2-40B4-BE49-F238E27FC236}">
              <a16:creationId xmlns:a16="http://schemas.microsoft.com/office/drawing/2014/main" id="{35766286-8135-4F28-904E-2605ACEB2474}"/>
            </a:ext>
          </a:extLst>
        </xdr:cNvPr>
        <xdr:cNvSpPr txBox="1"/>
      </xdr:nvSpPr>
      <xdr:spPr>
        <a:xfrm>
          <a:off x="3405187" y="357187"/>
          <a:ext cx="10453688" cy="773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tx1"/>
              </a:solidFill>
              <a:latin typeface="Calibri" panose="020F0502020204030204" pitchFamily="34" charset="0"/>
              <a:ea typeface="Calibri" panose="020F0502020204030204" pitchFamily="34" charset="0"/>
              <a:cs typeface="Calibri" panose="020F0502020204030204" pitchFamily="34" charset="0"/>
            </a:rPr>
            <a:t>Traffic Violation</a:t>
          </a:r>
          <a:r>
            <a:rPr lang="en-US" sz="2800" b="1" baseline="0">
              <a:solidFill>
                <a:schemeClr val="tx1"/>
              </a:solidFill>
              <a:latin typeface="Calibri" panose="020F0502020204030204" pitchFamily="34" charset="0"/>
              <a:ea typeface="Calibri" panose="020F0502020204030204" pitchFamily="34" charset="0"/>
              <a:cs typeface="Calibri" panose="020F0502020204030204" pitchFamily="34" charset="0"/>
            </a:rPr>
            <a:t> and Compliance Dashboard</a:t>
          </a:r>
          <a:endParaRPr lang="en-US" sz="2800" b="1">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17</xdr:col>
      <xdr:colOff>321469</xdr:colOff>
      <xdr:row>1</xdr:row>
      <xdr:rowOff>142875</xdr:rowOff>
    </xdr:from>
    <xdr:to>
      <xdr:col>20</xdr:col>
      <xdr:colOff>416719</xdr:colOff>
      <xdr:row>7</xdr:row>
      <xdr:rowOff>0</xdr:rowOff>
    </xdr:to>
    <xdr:pic>
      <xdr:nvPicPr>
        <xdr:cNvPr id="32" name="Picture 31">
          <a:extLst>
            <a:ext uri="{FF2B5EF4-FFF2-40B4-BE49-F238E27FC236}">
              <a16:creationId xmlns:a16="http://schemas.microsoft.com/office/drawing/2014/main" id="{455A352A-94F9-4409-9C40-B5BD2A16995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061032" y="321469"/>
          <a:ext cx="2166937" cy="928687"/>
        </a:xfrm>
        <a:prstGeom prst="rect">
          <a:avLst/>
        </a:prstGeom>
      </xdr:spPr>
    </xdr:pic>
    <xdr:clientData/>
  </xdr:twoCellAnchor>
  <xdr:twoCellAnchor>
    <xdr:from>
      <xdr:col>0</xdr:col>
      <xdr:colOff>261937</xdr:colOff>
      <xdr:row>9</xdr:row>
      <xdr:rowOff>0</xdr:rowOff>
    </xdr:from>
    <xdr:to>
      <xdr:col>2</xdr:col>
      <xdr:colOff>119062</xdr:colOff>
      <xdr:row>12</xdr:row>
      <xdr:rowOff>95250</xdr:rowOff>
    </xdr:to>
    <xdr:sp macro="" textlink="">
      <xdr:nvSpPr>
        <xdr:cNvPr id="33" name="TextBox 32">
          <a:extLst>
            <a:ext uri="{FF2B5EF4-FFF2-40B4-BE49-F238E27FC236}">
              <a16:creationId xmlns:a16="http://schemas.microsoft.com/office/drawing/2014/main" id="{674FA353-8066-408A-9EA5-46C7398DBFF9}"/>
            </a:ext>
          </a:extLst>
        </xdr:cNvPr>
        <xdr:cNvSpPr txBox="1"/>
      </xdr:nvSpPr>
      <xdr:spPr>
        <a:xfrm>
          <a:off x="261937" y="1607344"/>
          <a:ext cx="1238250" cy="631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alibri" panose="020F0502020204030204" pitchFamily="34" charset="0"/>
              <a:ea typeface="Calibri" panose="020F0502020204030204" pitchFamily="34" charset="0"/>
              <a:cs typeface="Calibri" panose="020F0502020204030204" pitchFamily="34" charset="0"/>
            </a:rPr>
            <a:t>Total Violations</a:t>
          </a:r>
        </a:p>
      </xdr:txBody>
    </xdr:sp>
    <xdr:clientData/>
  </xdr:twoCellAnchor>
  <xdr:twoCellAnchor>
    <xdr:from>
      <xdr:col>1</xdr:col>
      <xdr:colOff>583406</xdr:colOff>
      <xdr:row>8</xdr:row>
      <xdr:rowOff>35720</xdr:rowOff>
    </xdr:from>
    <xdr:to>
      <xdr:col>3</xdr:col>
      <xdr:colOff>488156</xdr:colOff>
      <xdr:row>14</xdr:row>
      <xdr:rowOff>11907</xdr:rowOff>
    </xdr:to>
    <xdr:graphicFrame macro="">
      <xdr:nvGraphicFramePr>
        <xdr:cNvPr id="34" name="Chart 33">
          <a:extLst>
            <a:ext uri="{FF2B5EF4-FFF2-40B4-BE49-F238E27FC236}">
              <a16:creationId xmlns:a16="http://schemas.microsoft.com/office/drawing/2014/main" id="{739AE4E7-89A1-4078-A1EF-9F2FF7A3E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357187</xdr:colOff>
      <xdr:row>10</xdr:row>
      <xdr:rowOff>83343</xdr:rowOff>
    </xdr:from>
    <xdr:to>
      <xdr:col>3</xdr:col>
      <xdr:colOff>238125</xdr:colOff>
      <xdr:row>12</xdr:row>
      <xdr:rowOff>47625</xdr:rowOff>
    </xdr:to>
    <xdr:sp macro="" textlink="Pivot!$B$15">
      <xdr:nvSpPr>
        <xdr:cNvPr id="35" name="TextBox 34">
          <a:extLst>
            <a:ext uri="{FF2B5EF4-FFF2-40B4-BE49-F238E27FC236}">
              <a16:creationId xmlns:a16="http://schemas.microsoft.com/office/drawing/2014/main" id="{0320AE9C-B54B-4CD3-ABAA-863A4410ED8B}"/>
            </a:ext>
          </a:extLst>
        </xdr:cNvPr>
        <xdr:cNvSpPr txBox="1"/>
      </xdr:nvSpPr>
      <xdr:spPr>
        <a:xfrm>
          <a:off x="1738312" y="1869281"/>
          <a:ext cx="571501"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A98F4AF-C7FE-4106-BBE5-5BB26425942E}" type="TxLink">
            <a:rPr lang="en-US" sz="1400" b="1" i="0" u="none" strike="noStrike">
              <a:solidFill>
                <a:srgbClr val="000000"/>
              </a:solidFill>
              <a:latin typeface="Calibri"/>
              <a:ea typeface="Calibri"/>
              <a:cs typeface="Calibri"/>
            </a:rPr>
            <a:t>2307</a:t>
          </a:fld>
          <a:endParaRPr lang="en-US" sz="1400" b="1"/>
        </a:p>
      </xdr:txBody>
    </xdr:sp>
    <xdr:clientData/>
  </xdr:twoCellAnchor>
  <xdr:twoCellAnchor>
    <xdr:from>
      <xdr:col>4</xdr:col>
      <xdr:colOff>69056</xdr:colOff>
      <xdr:row>8</xdr:row>
      <xdr:rowOff>69056</xdr:rowOff>
    </xdr:from>
    <xdr:to>
      <xdr:col>5</xdr:col>
      <xdr:colOff>571499</xdr:colOff>
      <xdr:row>11</xdr:row>
      <xdr:rowOff>83344</xdr:rowOff>
    </xdr:to>
    <xdr:sp macro="" textlink="">
      <xdr:nvSpPr>
        <xdr:cNvPr id="36" name="TextBox 35">
          <a:extLst>
            <a:ext uri="{FF2B5EF4-FFF2-40B4-BE49-F238E27FC236}">
              <a16:creationId xmlns:a16="http://schemas.microsoft.com/office/drawing/2014/main" id="{F1D4F92D-68F1-4E4B-BCE2-001A86CA6081}"/>
            </a:ext>
          </a:extLst>
        </xdr:cNvPr>
        <xdr:cNvSpPr txBox="1"/>
      </xdr:nvSpPr>
      <xdr:spPr>
        <a:xfrm>
          <a:off x="2831306" y="1497806"/>
          <a:ext cx="1193006" cy="550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alibri" panose="020F0502020204030204" pitchFamily="34" charset="0"/>
              <a:ea typeface="Calibri" panose="020F0502020204030204" pitchFamily="34" charset="0"/>
              <a:cs typeface="Calibri" panose="020F0502020204030204" pitchFamily="34" charset="0"/>
            </a:rPr>
            <a:t>Violation</a:t>
          </a:r>
          <a:r>
            <a:rPr lang="en-US" sz="1400" b="1" baseline="0">
              <a:latin typeface="Calibri" panose="020F0502020204030204" pitchFamily="34" charset="0"/>
              <a:ea typeface="Calibri" panose="020F0502020204030204" pitchFamily="34" charset="0"/>
              <a:cs typeface="Calibri" panose="020F0502020204030204" pitchFamily="34" charset="0"/>
            </a:rPr>
            <a:t> Resolution %</a:t>
          </a:r>
          <a:endParaRPr lang="en-US"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685799</xdr:colOff>
      <xdr:row>8</xdr:row>
      <xdr:rowOff>102393</xdr:rowOff>
    </xdr:from>
    <xdr:to>
      <xdr:col>9</xdr:col>
      <xdr:colOff>497680</xdr:colOff>
      <xdr:row>11</xdr:row>
      <xdr:rowOff>116681</xdr:rowOff>
    </xdr:to>
    <xdr:sp macro="" textlink="">
      <xdr:nvSpPr>
        <xdr:cNvPr id="37" name="TextBox 36">
          <a:extLst>
            <a:ext uri="{FF2B5EF4-FFF2-40B4-BE49-F238E27FC236}">
              <a16:creationId xmlns:a16="http://schemas.microsoft.com/office/drawing/2014/main" id="{BA31525A-A68F-48BD-98DE-D871450DA411}"/>
            </a:ext>
          </a:extLst>
        </xdr:cNvPr>
        <xdr:cNvSpPr txBox="1"/>
      </xdr:nvSpPr>
      <xdr:spPr>
        <a:xfrm>
          <a:off x="5519737" y="1531143"/>
          <a:ext cx="1193006" cy="550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alibri" panose="020F0502020204030204" pitchFamily="34" charset="0"/>
              <a:ea typeface="Calibri" panose="020F0502020204030204" pitchFamily="34" charset="0"/>
              <a:cs typeface="Calibri" panose="020F0502020204030204" pitchFamily="34" charset="0"/>
            </a:rPr>
            <a:t>Active</a:t>
          </a:r>
        </a:p>
        <a:p>
          <a:r>
            <a:rPr lang="en-US" sz="1400" b="1">
              <a:latin typeface="Calibri" panose="020F0502020204030204" pitchFamily="34" charset="0"/>
              <a:ea typeface="Calibri" panose="020F0502020204030204" pitchFamily="34" charset="0"/>
              <a:cs typeface="Calibri" panose="020F0502020204030204" pitchFamily="34" charset="0"/>
            </a:rPr>
            <a:t>Violation</a:t>
          </a:r>
          <a:r>
            <a:rPr lang="en-US" sz="1400" b="1" baseline="0">
              <a:latin typeface="Calibri" panose="020F0502020204030204" pitchFamily="34" charset="0"/>
              <a:ea typeface="Calibri" panose="020F0502020204030204" pitchFamily="34" charset="0"/>
              <a:cs typeface="Calibri" panose="020F0502020204030204" pitchFamily="34" charset="0"/>
            </a:rPr>
            <a:t> %</a:t>
          </a:r>
          <a:endParaRPr lang="en-US"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600074</xdr:colOff>
      <xdr:row>8</xdr:row>
      <xdr:rowOff>40481</xdr:rowOff>
    </xdr:from>
    <xdr:to>
      <xdr:col>13</xdr:col>
      <xdr:colOff>411955</xdr:colOff>
      <xdr:row>11</xdr:row>
      <xdr:rowOff>54769</xdr:rowOff>
    </xdr:to>
    <xdr:sp macro="" textlink="">
      <xdr:nvSpPr>
        <xdr:cNvPr id="38" name="TextBox 37">
          <a:extLst>
            <a:ext uri="{FF2B5EF4-FFF2-40B4-BE49-F238E27FC236}">
              <a16:creationId xmlns:a16="http://schemas.microsoft.com/office/drawing/2014/main" id="{44B4793E-8C71-4C3D-8277-BFAF4EC27BCA}"/>
            </a:ext>
          </a:extLst>
        </xdr:cNvPr>
        <xdr:cNvSpPr txBox="1"/>
      </xdr:nvSpPr>
      <xdr:spPr>
        <a:xfrm>
          <a:off x="8196262" y="1469231"/>
          <a:ext cx="1193006" cy="550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Calibri" panose="020F0502020204030204" pitchFamily="34" charset="0"/>
              <a:ea typeface="Calibri" panose="020F0502020204030204" pitchFamily="34" charset="0"/>
              <a:cs typeface="Calibri" panose="020F0502020204030204" pitchFamily="34" charset="0"/>
            </a:rPr>
            <a:t>Ignored</a:t>
          </a:r>
        </a:p>
        <a:p>
          <a:r>
            <a:rPr lang="en-US" sz="1400" b="1">
              <a:latin typeface="Calibri" panose="020F0502020204030204" pitchFamily="34" charset="0"/>
              <a:ea typeface="Calibri" panose="020F0502020204030204" pitchFamily="34" charset="0"/>
              <a:cs typeface="Calibri" panose="020F0502020204030204" pitchFamily="34" charset="0"/>
            </a:rPr>
            <a:t>Violation</a:t>
          </a:r>
          <a:r>
            <a:rPr lang="en-US" sz="1400" b="1" baseline="0">
              <a:latin typeface="Calibri" panose="020F0502020204030204" pitchFamily="34" charset="0"/>
              <a:ea typeface="Calibri" panose="020F0502020204030204" pitchFamily="34" charset="0"/>
              <a:cs typeface="Calibri" panose="020F0502020204030204" pitchFamily="34" charset="0"/>
            </a:rPr>
            <a:t> %</a:t>
          </a:r>
          <a:endParaRPr lang="en-US" sz="1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47624</xdr:colOff>
      <xdr:row>8</xdr:row>
      <xdr:rowOff>35719</xdr:rowOff>
    </xdr:from>
    <xdr:to>
      <xdr:col>7</xdr:col>
      <xdr:colOff>535781</xdr:colOff>
      <xdr:row>14</xdr:row>
      <xdr:rowOff>0</xdr:rowOff>
    </xdr:to>
    <xdr:graphicFrame macro="">
      <xdr:nvGraphicFramePr>
        <xdr:cNvPr id="39" name="Chart 38">
          <a:extLst>
            <a:ext uri="{FF2B5EF4-FFF2-40B4-BE49-F238E27FC236}">
              <a16:creationId xmlns:a16="http://schemas.microsoft.com/office/drawing/2014/main" id="{74AEEF5C-692A-459C-82BC-ADB8B8AC9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416718</xdr:colOff>
      <xdr:row>8</xdr:row>
      <xdr:rowOff>92868</xdr:rowOff>
    </xdr:from>
    <xdr:to>
      <xdr:col>11</xdr:col>
      <xdr:colOff>366712</xdr:colOff>
      <xdr:row>14</xdr:row>
      <xdr:rowOff>57149</xdr:rowOff>
    </xdr:to>
    <xdr:graphicFrame macro="">
      <xdr:nvGraphicFramePr>
        <xdr:cNvPr id="40" name="Chart 39">
          <a:extLst>
            <a:ext uri="{FF2B5EF4-FFF2-40B4-BE49-F238E27FC236}">
              <a16:creationId xmlns:a16="http://schemas.microsoft.com/office/drawing/2014/main" id="{14A1C9AF-1070-4A13-A42A-6148C4006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223838</xdr:colOff>
      <xdr:row>8</xdr:row>
      <xdr:rowOff>71437</xdr:rowOff>
    </xdr:from>
    <xdr:to>
      <xdr:col>15</xdr:col>
      <xdr:colOff>273843</xdr:colOff>
      <xdr:row>14</xdr:row>
      <xdr:rowOff>59531</xdr:rowOff>
    </xdr:to>
    <xdr:graphicFrame macro="">
      <xdr:nvGraphicFramePr>
        <xdr:cNvPr id="41" name="Chart 40">
          <a:extLst>
            <a:ext uri="{FF2B5EF4-FFF2-40B4-BE49-F238E27FC236}">
              <a16:creationId xmlns:a16="http://schemas.microsoft.com/office/drawing/2014/main" id="{9EA8F1D5-095E-48B5-A3D3-DF817A50B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259556</xdr:colOff>
      <xdr:row>15</xdr:row>
      <xdr:rowOff>116682</xdr:rowOff>
    </xdr:from>
    <xdr:to>
      <xdr:col>5</xdr:col>
      <xdr:colOff>83344</xdr:colOff>
      <xdr:row>17</xdr:row>
      <xdr:rowOff>154781</xdr:rowOff>
    </xdr:to>
    <xdr:sp macro="" textlink="">
      <xdr:nvSpPr>
        <xdr:cNvPr id="42" name="TextBox 41">
          <a:extLst>
            <a:ext uri="{FF2B5EF4-FFF2-40B4-BE49-F238E27FC236}">
              <a16:creationId xmlns:a16="http://schemas.microsoft.com/office/drawing/2014/main" id="{2F9EF9A6-A6A3-4A6B-821E-C42B0DA8F927}"/>
            </a:ext>
          </a:extLst>
        </xdr:cNvPr>
        <xdr:cNvSpPr txBox="1"/>
      </xdr:nvSpPr>
      <xdr:spPr>
        <a:xfrm>
          <a:off x="950119" y="2795588"/>
          <a:ext cx="2586038" cy="395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50" b="1" u="sng">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rPr>
            <a:t>Overview</a:t>
          </a:r>
          <a:r>
            <a:rPr lang="en-US" sz="1650" b="1" u="sng"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rPr>
            <a:t> Summary</a:t>
          </a:r>
        </a:p>
      </xdr:txBody>
    </xdr:sp>
    <xdr:clientData/>
  </xdr:twoCellAnchor>
  <xdr:twoCellAnchor>
    <xdr:from>
      <xdr:col>1</xdr:col>
      <xdr:colOff>269081</xdr:colOff>
      <xdr:row>17</xdr:row>
      <xdr:rowOff>102394</xdr:rowOff>
    </xdr:from>
    <xdr:to>
      <xdr:col>3</xdr:col>
      <xdr:colOff>178593</xdr:colOff>
      <xdr:row>19</xdr:row>
      <xdr:rowOff>140494</xdr:rowOff>
    </xdr:to>
    <xdr:sp macro="" textlink="">
      <xdr:nvSpPr>
        <xdr:cNvPr id="43" name="TextBox 42">
          <a:extLst>
            <a:ext uri="{FF2B5EF4-FFF2-40B4-BE49-F238E27FC236}">
              <a16:creationId xmlns:a16="http://schemas.microsoft.com/office/drawing/2014/main" id="{33BA65CA-6DB9-4156-B208-343CB0849A45}"/>
            </a:ext>
          </a:extLst>
        </xdr:cNvPr>
        <xdr:cNvSpPr txBox="1"/>
      </xdr:nvSpPr>
      <xdr:spPr>
        <a:xfrm>
          <a:off x="959644" y="3138488"/>
          <a:ext cx="1290637" cy="395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rPr>
            <a:t>Environment</a:t>
          </a:r>
        </a:p>
      </xdr:txBody>
    </xdr:sp>
    <xdr:clientData/>
  </xdr:twoCellAnchor>
  <xdr:twoCellAnchor>
    <xdr:from>
      <xdr:col>1</xdr:col>
      <xdr:colOff>290512</xdr:colOff>
      <xdr:row>19</xdr:row>
      <xdr:rowOff>11906</xdr:rowOff>
    </xdr:from>
    <xdr:to>
      <xdr:col>3</xdr:col>
      <xdr:colOff>166686</xdr:colOff>
      <xdr:row>20</xdr:row>
      <xdr:rowOff>173831</xdr:rowOff>
    </xdr:to>
    <xdr:sp macro="" textlink="">
      <xdr:nvSpPr>
        <xdr:cNvPr id="44" name="TextBox 43">
          <a:extLst>
            <a:ext uri="{FF2B5EF4-FFF2-40B4-BE49-F238E27FC236}">
              <a16:creationId xmlns:a16="http://schemas.microsoft.com/office/drawing/2014/main" id="{613FDAE5-E2AE-4D50-8CB3-5E29C4FDC5A1}"/>
            </a:ext>
          </a:extLst>
        </xdr:cNvPr>
        <xdr:cNvSpPr txBox="1"/>
      </xdr:nvSpPr>
      <xdr:spPr>
        <a:xfrm>
          <a:off x="981075" y="3405187"/>
          <a:ext cx="1257299" cy="340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0"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rPr>
            <a:t>Managed:</a:t>
          </a:r>
        </a:p>
      </xdr:txBody>
    </xdr:sp>
    <xdr:clientData/>
  </xdr:twoCellAnchor>
  <xdr:twoCellAnchor editAs="oneCell">
    <xdr:from>
      <xdr:col>0</xdr:col>
      <xdr:colOff>166686</xdr:colOff>
      <xdr:row>26</xdr:row>
      <xdr:rowOff>69054</xdr:rowOff>
    </xdr:from>
    <xdr:to>
      <xdr:col>1</xdr:col>
      <xdr:colOff>309560</xdr:colOff>
      <xdr:row>30</xdr:row>
      <xdr:rowOff>95249</xdr:rowOff>
    </xdr:to>
    <xdr:pic>
      <xdr:nvPicPr>
        <xdr:cNvPr id="45" name="Picture 44">
          <a:extLst>
            <a:ext uri="{FF2B5EF4-FFF2-40B4-BE49-F238E27FC236}">
              <a16:creationId xmlns:a16="http://schemas.microsoft.com/office/drawing/2014/main" id="{B88AE0A9-7AA9-4EB5-893B-D7E8097CF27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66686" y="4712492"/>
          <a:ext cx="833437" cy="740570"/>
        </a:xfrm>
        <a:prstGeom prst="rect">
          <a:avLst/>
        </a:prstGeom>
      </xdr:spPr>
    </xdr:pic>
    <xdr:clientData/>
  </xdr:twoCellAnchor>
  <xdr:twoCellAnchor editAs="oneCell">
    <xdr:from>
      <xdr:col>0</xdr:col>
      <xdr:colOff>285752</xdr:colOff>
      <xdr:row>16</xdr:row>
      <xdr:rowOff>11906</xdr:rowOff>
    </xdr:from>
    <xdr:to>
      <xdr:col>1</xdr:col>
      <xdr:colOff>238125</xdr:colOff>
      <xdr:row>20</xdr:row>
      <xdr:rowOff>45244</xdr:rowOff>
    </xdr:to>
    <xdr:pic>
      <xdr:nvPicPr>
        <xdr:cNvPr id="46" name="Picture 45">
          <a:extLst>
            <a:ext uri="{FF2B5EF4-FFF2-40B4-BE49-F238E27FC236}">
              <a16:creationId xmlns:a16="http://schemas.microsoft.com/office/drawing/2014/main" id="{87C701A3-49B9-4372-8787-04DFA5B72C33}"/>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85752" y="2869406"/>
          <a:ext cx="642936" cy="747713"/>
        </a:xfrm>
        <a:prstGeom prst="rect">
          <a:avLst/>
        </a:prstGeom>
      </xdr:spPr>
    </xdr:pic>
    <xdr:clientData/>
  </xdr:twoCellAnchor>
  <xdr:twoCellAnchor editAs="oneCell">
    <xdr:from>
      <xdr:col>0</xdr:col>
      <xdr:colOff>166688</xdr:colOff>
      <xdr:row>21</xdr:row>
      <xdr:rowOff>107155</xdr:rowOff>
    </xdr:from>
    <xdr:to>
      <xdr:col>1</xdr:col>
      <xdr:colOff>273844</xdr:colOff>
      <xdr:row>25</xdr:row>
      <xdr:rowOff>107155</xdr:rowOff>
    </xdr:to>
    <xdr:pic>
      <xdr:nvPicPr>
        <xdr:cNvPr id="47" name="Picture 46">
          <a:extLst>
            <a:ext uri="{FF2B5EF4-FFF2-40B4-BE49-F238E27FC236}">
              <a16:creationId xmlns:a16="http://schemas.microsoft.com/office/drawing/2014/main" id="{23255962-83CD-48D9-9EA5-5680E52AF8D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66688" y="3857624"/>
          <a:ext cx="797719" cy="714375"/>
        </a:xfrm>
        <a:prstGeom prst="rect">
          <a:avLst/>
        </a:prstGeom>
      </xdr:spPr>
    </xdr:pic>
    <xdr:clientData/>
  </xdr:twoCellAnchor>
  <xdr:twoCellAnchor>
    <xdr:from>
      <xdr:col>0</xdr:col>
      <xdr:colOff>565548</xdr:colOff>
      <xdr:row>21</xdr:row>
      <xdr:rowOff>107155</xdr:rowOff>
    </xdr:from>
    <xdr:to>
      <xdr:col>0</xdr:col>
      <xdr:colOff>565548</xdr:colOff>
      <xdr:row>21</xdr:row>
      <xdr:rowOff>107155</xdr:rowOff>
    </xdr:to>
    <xdr:cxnSp macro="">
      <xdr:nvCxnSpPr>
        <xdr:cNvPr id="49" name="Straight Connector 48">
          <a:extLst>
            <a:ext uri="{FF2B5EF4-FFF2-40B4-BE49-F238E27FC236}">
              <a16:creationId xmlns:a16="http://schemas.microsoft.com/office/drawing/2014/main" id="{CE14D4D7-E520-4FAF-846D-3389328464C1}"/>
            </a:ext>
          </a:extLst>
        </xdr:cNvPr>
        <xdr:cNvCxnSpPr>
          <a:stCxn id="47" idx="0"/>
          <a:endCxn id="47" idx="0"/>
        </xdr:cNvCxnSpPr>
      </xdr:nvCxnSpPr>
      <xdr:spPr>
        <a:xfrm>
          <a:off x="565548" y="3857624"/>
          <a:ext cx="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333375</xdr:colOff>
      <xdr:row>21</xdr:row>
      <xdr:rowOff>83343</xdr:rowOff>
    </xdr:from>
    <xdr:to>
      <xdr:col>5</xdr:col>
      <xdr:colOff>392906</xdr:colOff>
      <xdr:row>21</xdr:row>
      <xdr:rowOff>95250</xdr:rowOff>
    </xdr:to>
    <xdr:cxnSp macro="">
      <xdr:nvCxnSpPr>
        <xdr:cNvPr id="52" name="Straight Connector 51">
          <a:extLst>
            <a:ext uri="{FF2B5EF4-FFF2-40B4-BE49-F238E27FC236}">
              <a16:creationId xmlns:a16="http://schemas.microsoft.com/office/drawing/2014/main" id="{AFAFB2B3-2BA3-4D9F-A6A0-12710C716F56}"/>
            </a:ext>
          </a:extLst>
        </xdr:cNvPr>
        <xdr:cNvCxnSpPr/>
      </xdr:nvCxnSpPr>
      <xdr:spPr>
        <a:xfrm>
          <a:off x="333375" y="3833812"/>
          <a:ext cx="3512344" cy="11907"/>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357187</xdr:colOff>
      <xdr:row>26</xdr:row>
      <xdr:rowOff>59531</xdr:rowOff>
    </xdr:from>
    <xdr:to>
      <xdr:col>5</xdr:col>
      <xdr:colOff>428624</xdr:colOff>
      <xdr:row>26</xdr:row>
      <xdr:rowOff>71437</xdr:rowOff>
    </xdr:to>
    <xdr:cxnSp macro="">
      <xdr:nvCxnSpPr>
        <xdr:cNvPr id="55" name="Straight Connector 54">
          <a:extLst>
            <a:ext uri="{FF2B5EF4-FFF2-40B4-BE49-F238E27FC236}">
              <a16:creationId xmlns:a16="http://schemas.microsoft.com/office/drawing/2014/main" id="{AB8AAEFA-6935-489D-B85D-325FC7C5AE9A}"/>
            </a:ext>
          </a:extLst>
        </xdr:cNvPr>
        <xdr:cNvCxnSpPr/>
      </xdr:nvCxnSpPr>
      <xdr:spPr>
        <a:xfrm>
          <a:off x="357187" y="4702969"/>
          <a:ext cx="3524250" cy="11906"/>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419101</xdr:colOff>
      <xdr:row>19</xdr:row>
      <xdr:rowOff>21431</xdr:rowOff>
    </xdr:from>
    <xdr:to>
      <xdr:col>3</xdr:col>
      <xdr:colOff>381000</xdr:colOff>
      <xdr:row>21</xdr:row>
      <xdr:rowOff>4762</xdr:rowOff>
    </xdr:to>
    <xdr:sp macro="" textlink="Pivot!$B$19">
      <xdr:nvSpPr>
        <xdr:cNvPr id="59" name="TextBox 58">
          <a:extLst>
            <a:ext uri="{FF2B5EF4-FFF2-40B4-BE49-F238E27FC236}">
              <a16:creationId xmlns:a16="http://schemas.microsoft.com/office/drawing/2014/main" id="{B7D7FB98-6FDC-424C-BEE4-6B8AF1F4D24E}"/>
            </a:ext>
          </a:extLst>
        </xdr:cNvPr>
        <xdr:cNvSpPr txBox="1"/>
      </xdr:nvSpPr>
      <xdr:spPr>
        <a:xfrm>
          <a:off x="1800226" y="3414712"/>
          <a:ext cx="652462" cy="340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A44839-127C-4C56-A74D-4EB5860304C7}" type="TxLink">
            <a:rPr lang="en-US" sz="1400" b="0" i="0" u="none" strike="noStrike" baseline="0">
              <a:solidFill>
                <a:srgbClr val="000000"/>
              </a:solidFill>
              <a:latin typeface="Calibri"/>
              <a:ea typeface="Calibri"/>
              <a:cs typeface="Calibri"/>
            </a:rPr>
            <a:t>1526</a:t>
          </a:fld>
          <a:endParaRPr lang="en-US" sz="1400" b="0"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214311</xdr:colOff>
      <xdr:row>18</xdr:row>
      <xdr:rowOff>164305</xdr:rowOff>
    </xdr:from>
    <xdr:to>
      <xdr:col>5</xdr:col>
      <xdr:colOff>-1</xdr:colOff>
      <xdr:row>20</xdr:row>
      <xdr:rowOff>147637</xdr:rowOff>
    </xdr:to>
    <xdr:sp macro="" textlink="">
      <xdr:nvSpPr>
        <xdr:cNvPr id="61" name="TextBox 60">
          <a:extLst>
            <a:ext uri="{FF2B5EF4-FFF2-40B4-BE49-F238E27FC236}">
              <a16:creationId xmlns:a16="http://schemas.microsoft.com/office/drawing/2014/main" id="{45EB8876-09DE-4B4D-B468-519FBD146085}"/>
            </a:ext>
          </a:extLst>
        </xdr:cNvPr>
        <xdr:cNvSpPr txBox="1"/>
      </xdr:nvSpPr>
      <xdr:spPr>
        <a:xfrm>
          <a:off x="2285999" y="3378993"/>
          <a:ext cx="1166813" cy="340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0"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rPr>
            <a:t>Disabled:</a:t>
          </a:r>
        </a:p>
      </xdr:txBody>
    </xdr:sp>
    <xdr:clientData/>
  </xdr:twoCellAnchor>
  <xdr:twoCellAnchor>
    <xdr:from>
      <xdr:col>4</xdr:col>
      <xdr:colOff>488157</xdr:colOff>
      <xdr:row>18</xdr:row>
      <xdr:rowOff>161924</xdr:rowOff>
    </xdr:from>
    <xdr:to>
      <xdr:col>5</xdr:col>
      <xdr:colOff>450056</xdr:colOff>
      <xdr:row>20</xdr:row>
      <xdr:rowOff>145256</xdr:rowOff>
    </xdr:to>
    <xdr:sp macro="" textlink="Pivot!$B$21">
      <xdr:nvSpPr>
        <xdr:cNvPr id="62" name="TextBox 61">
          <a:extLst>
            <a:ext uri="{FF2B5EF4-FFF2-40B4-BE49-F238E27FC236}">
              <a16:creationId xmlns:a16="http://schemas.microsoft.com/office/drawing/2014/main" id="{284B2CF2-613E-480D-94FF-D2D462E8DF25}"/>
            </a:ext>
          </a:extLst>
        </xdr:cNvPr>
        <xdr:cNvSpPr txBox="1"/>
      </xdr:nvSpPr>
      <xdr:spPr>
        <a:xfrm>
          <a:off x="3250407" y="3376612"/>
          <a:ext cx="652462" cy="340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5E97C7-773A-4980-B1ED-CB5F46814745}" type="TxLink">
            <a:rPr lang="en-US" sz="1400" b="0" i="0" u="none" strike="noStrike" baseline="0">
              <a:solidFill>
                <a:srgbClr val="000000"/>
              </a:solidFill>
              <a:latin typeface="Calibri"/>
              <a:ea typeface="Calibri"/>
              <a:cs typeface="Calibri"/>
            </a:rPr>
            <a:t>273</a:t>
          </a:fld>
          <a:endParaRPr lang="en-US" sz="1400" b="0"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278606</xdr:colOff>
      <xdr:row>21</xdr:row>
      <xdr:rowOff>64294</xdr:rowOff>
    </xdr:from>
    <xdr:to>
      <xdr:col>3</xdr:col>
      <xdr:colOff>188118</xdr:colOff>
      <xdr:row>23</xdr:row>
      <xdr:rowOff>102394</xdr:rowOff>
    </xdr:to>
    <xdr:sp macro="" textlink="">
      <xdr:nvSpPr>
        <xdr:cNvPr id="64" name="TextBox 63">
          <a:extLst>
            <a:ext uri="{FF2B5EF4-FFF2-40B4-BE49-F238E27FC236}">
              <a16:creationId xmlns:a16="http://schemas.microsoft.com/office/drawing/2014/main" id="{252B5C66-59AA-4B03-8260-B37E4FE110A4}"/>
            </a:ext>
          </a:extLst>
        </xdr:cNvPr>
        <xdr:cNvSpPr txBox="1"/>
      </xdr:nvSpPr>
      <xdr:spPr>
        <a:xfrm>
          <a:off x="969169" y="3814763"/>
          <a:ext cx="1290637" cy="395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rPr>
            <a:t>Rules</a:t>
          </a:r>
        </a:p>
        <a:p>
          <a:endParaRPr lang="en-US" sz="1500" b="1"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228600</xdr:colOff>
      <xdr:row>22</xdr:row>
      <xdr:rowOff>157162</xdr:rowOff>
    </xdr:from>
    <xdr:to>
      <xdr:col>2</xdr:col>
      <xdr:colOff>250031</xdr:colOff>
      <xdr:row>25</xdr:row>
      <xdr:rowOff>16668</xdr:rowOff>
    </xdr:to>
    <xdr:sp macro="" textlink="">
      <xdr:nvSpPr>
        <xdr:cNvPr id="66" name="TextBox 65">
          <a:extLst>
            <a:ext uri="{FF2B5EF4-FFF2-40B4-BE49-F238E27FC236}">
              <a16:creationId xmlns:a16="http://schemas.microsoft.com/office/drawing/2014/main" id="{389F151E-CFF6-418D-925A-C3A552295EE7}"/>
            </a:ext>
          </a:extLst>
        </xdr:cNvPr>
        <xdr:cNvSpPr txBox="1"/>
      </xdr:nvSpPr>
      <xdr:spPr>
        <a:xfrm>
          <a:off x="919163" y="4086225"/>
          <a:ext cx="711993" cy="395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0"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rPr>
            <a:t>Total:</a:t>
          </a:r>
        </a:p>
        <a:p>
          <a:endParaRPr lang="en-US" sz="1500" b="1"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190501</xdr:colOff>
      <xdr:row>22</xdr:row>
      <xdr:rowOff>142874</xdr:rowOff>
    </xdr:from>
    <xdr:to>
      <xdr:col>3</xdr:col>
      <xdr:colOff>211931</xdr:colOff>
      <xdr:row>25</xdr:row>
      <xdr:rowOff>2380</xdr:rowOff>
    </xdr:to>
    <xdr:sp macro="" textlink="Pivot!$B$20">
      <xdr:nvSpPr>
        <xdr:cNvPr id="67" name="TextBox 66">
          <a:extLst>
            <a:ext uri="{FF2B5EF4-FFF2-40B4-BE49-F238E27FC236}">
              <a16:creationId xmlns:a16="http://schemas.microsoft.com/office/drawing/2014/main" id="{4848710F-C71E-4C76-8E55-D6A086C3384F}"/>
            </a:ext>
          </a:extLst>
        </xdr:cNvPr>
        <xdr:cNvSpPr txBox="1"/>
      </xdr:nvSpPr>
      <xdr:spPr>
        <a:xfrm>
          <a:off x="1571626" y="4071937"/>
          <a:ext cx="711993" cy="395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5DB83E-6423-485F-94A2-524DB0CAC433}" type="TxLink">
            <a:rPr lang="en-US" sz="1400" b="0" i="0" u="none" strike="noStrike" baseline="0">
              <a:solidFill>
                <a:srgbClr val="000000"/>
              </a:solidFill>
              <a:latin typeface="Calibri"/>
              <a:ea typeface="Calibri"/>
              <a:cs typeface="Calibri"/>
            </a:rPr>
            <a:t>1319</a:t>
          </a:fld>
          <a:endParaRPr lang="en-US" sz="1400" b="1"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264318</xdr:colOff>
      <xdr:row>26</xdr:row>
      <xdr:rowOff>73819</xdr:rowOff>
    </xdr:from>
    <xdr:to>
      <xdr:col>3</xdr:col>
      <xdr:colOff>173830</xdr:colOff>
      <xdr:row>28</xdr:row>
      <xdr:rowOff>111919</xdr:rowOff>
    </xdr:to>
    <xdr:sp macro="" textlink="">
      <xdr:nvSpPr>
        <xdr:cNvPr id="68" name="TextBox 67">
          <a:extLst>
            <a:ext uri="{FF2B5EF4-FFF2-40B4-BE49-F238E27FC236}">
              <a16:creationId xmlns:a16="http://schemas.microsoft.com/office/drawing/2014/main" id="{F8EA44A7-D177-40F5-AA62-A74A2B18D270}"/>
            </a:ext>
          </a:extLst>
        </xdr:cNvPr>
        <xdr:cNvSpPr txBox="1"/>
      </xdr:nvSpPr>
      <xdr:spPr>
        <a:xfrm>
          <a:off x="954881" y="4717257"/>
          <a:ext cx="1290637" cy="395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rPr>
            <a:t>Violation</a:t>
          </a:r>
        </a:p>
        <a:p>
          <a:endParaRPr lang="en-US" sz="1500" b="1"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238124</xdr:colOff>
      <xdr:row>28</xdr:row>
      <xdr:rowOff>11907</xdr:rowOff>
    </xdr:from>
    <xdr:to>
      <xdr:col>2</xdr:col>
      <xdr:colOff>607219</xdr:colOff>
      <xdr:row>30</xdr:row>
      <xdr:rowOff>50006</xdr:rowOff>
    </xdr:to>
    <xdr:sp macro="" textlink="">
      <xdr:nvSpPr>
        <xdr:cNvPr id="69" name="TextBox 68">
          <a:extLst>
            <a:ext uri="{FF2B5EF4-FFF2-40B4-BE49-F238E27FC236}">
              <a16:creationId xmlns:a16="http://schemas.microsoft.com/office/drawing/2014/main" id="{AF1A8F91-15DC-417D-83AB-A698F0C9E493}"/>
            </a:ext>
          </a:extLst>
        </xdr:cNvPr>
        <xdr:cNvSpPr txBox="1"/>
      </xdr:nvSpPr>
      <xdr:spPr>
        <a:xfrm>
          <a:off x="928687" y="5012532"/>
          <a:ext cx="1059657" cy="395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0"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rPr>
            <a:t>Violation:</a:t>
          </a:r>
        </a:p>
        <a:p>
          <a:endParaRPr lang="en-US" sz="1500" b="1"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235743</xdr:colOff>
      <xdr:row>29</xdr:row>
      <xdr:rowOff>104776</xdr:rowOff>
    </xdr:from>
    <xdr:to>
      <xdr:col>2</xdr:col>
      <xdr:colOff>604838</xdr:colOff>
      <xdr:row>31</xdr:row>
      <xdr:rowOff>107157</xdr:rowOff>
    </xdr:to>
    <xdr:sp macro="" textlink="">
      <xdr:nvSpPr>
        <xdr:cNvPr id="70" name="TextBox 69">
          <a:extLst>
            <a:ext uri="{FF2B5EF4-FFF2-40B4-BE49-F238E27FC236}">
              <a16:creationId xmlns:a16="http://schemas.microsoft.com/office/drawing/2014/main" id="{EE2CED45-B2F1-4E04-8F7D-F13F747A6F95}"/>
            </a:ext>
          </a:extLst>
        </xdr:cNvPr>
        <xdr:cNvSpPr txBox="1"/>
      </xdr:nvSpPr>
      <xdr:spPr>
        <a:xfrm>
          <a:off x="926306" y="5283995"/>
          <a:ext cx="1059657" cy="359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0"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rPr>
            <a:t>Solved:</a:t>
          </a:r>
        </a:p>
        <a:p>
          <a:endParaRPr lang="en-US" sz="1500" b="1"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426243</xdr:colOff>
      <xdr:row>28</xdr:row>
      <xdr:rowOff>33338</xdr:rowOff>
    </xdr:from>
    <xdr:to>
      <xdr:col>4</xdr:col>
      <xdr:colOff>104775</xdr:colOff>
      <xdr:row>30</xdr:row>
      <xdr:rowOff>71437</xdr:rowOff>
    </xdr:to>
    <xdr:sp macro="" textlink="">
      <xdr:nvSpPr>
        <xdr:cNvPr id="71" name="TextBox 70">
          <a:extLst>
            <a:ext uri="{FF2B5EF4-FFF2-40B4-BE49-F238E27FC236}">
              <a16:creationId xmlns:a16="http://schemas.microsoft.com/office/drawing/2014/main" id="{A37C8095-2126-4DD0-9BD4-5BAABE41738B}"/>
            </a:ext>
          </a:extLst>
        </xdr:cNvPr>
        <xdr:cNvSpPr txBox="1"/>
      </xdr:nvSpPr>
      <xdr:spPr>
        <a:xfrm>
          <a:off x="1807368" y="5033963"/>
          <a:ext cx="1059657" cy="395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500" b="0"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endParaRPr>
        </a:p>
        <a:p>
          <a:endParaRPr lang="en-US" sz="1500" b="1"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390524</xdr:colOff>
      <xdr:row>27</xdr:row>
      <xdr:rowOff>164307</xdr:rowOff>
    </xdr:from>
    <xdr:to>
      <xdr:col>5</xdr:col>
      <xdr:colOff>69056</xdr:colOff>
      <xdr:row>30</xdr:row>
      <xdr:rowOff>23812</xdr:rowOff>
    </xdr:to>
    <xdr:sp macro="" textlink="">
      <xdr:nvSpPr>
        <xdr:cNvPr id="72" name="TextBox 71">
          <a:extLst>
            <a:ext uri="{FF2B5EF4-FFF2-40B4-BE49-F238E27FC236}">
              <a16:creationId xmlns:a16="http://schemas.microsoft.com/office/drawing/2014/main" id="{F4496D50-0DA8-418A-B37A-182D0C373EF0}"/>
            </a:ext>
          </a:extLst>
        </xdr:cNvPr>
        <xdr:cNvSpPr txBox="1"/>
      </xdr:nvSpPr>
      <xdr:spPr>
        <a:xfrm>
          <a:off x="2462212" y="4986338"/>
          <a:ext cx="1059657" cy="395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0"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rPr>
            <a:t>Active:</a:t>
          </a:r>
        </a:p>
        <a:p>
          <a:endParaRPr lang="en-US" sz="1500" b="1"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340518</xdr:colOff>
      <xdr:row>29</xdr:row>
      <xdr:rowOff>138112</xdr:rowOff>
    </xdr:from>
    <xdr:to>
      <xdr:col>5</xdr:col>
      <xdr:colOff>19050</xdr:colOff>
      <xdr:row>31</xdr:row>
      <xdr:rowOff>176212</xdr:rowOff>
    </xdr:to>
    <xdr:sp macro="" textlink="">
      <xdr:nvSpPr>
        <xdr:cNvPr id="73" name="TextBox 72">
          <a:extLst>
            <a:ext uri="{FF2B5EF4-FFF2-40B4-BE49-F238E27FC236}">
              <a16:creationId xmlns:a16="http://schemas.microsoft.com/office/drawing/2014/main" id="{D1A266F1-F444-416C-AE98-0F87CA7EFA15}"/>
            </a:ext>
          </a:extLst>
        </xdr:cNvPr>
        <xdr:cNvSpPr txBox="1"/>
      </xdr:nvSpPr>
      <xdr:spPr>
        <a:xfrm>
          <a:off x="2412206" y="5317331"/>
          <a:ext cx="1059657" cy="395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0"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rPr>
            <a:t>Ignored:</a:t>
          </a:r>
        </a:p>
        <a:p>
          <a:endParaRPr lang="en-US" sz="1500" b="1"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316707</xdr:colOff>
      <xdr:row>28</xdr:row>
      <xdr:rowOff>7145</xdr:rowOff>
    </xdr:from>
    <xdr:to>
      <xdr:col>3</xdr:col>
      <xdr:colOff>285749</xdr:colOff>
      <xdr:row>30</xdr:row>
      <xdr:rowOff>45244</xdr:rowOff>
    </xdr:to>
    <xdr:sp macro="" textlink="Pivot!$B$15">
      <xdr:nvSpPr>
        <xdr:cNvPr id="74" name="TextBox 73">
          <a:extLst>
            <a:ext uri="{FF2B5EF4-FFF2-40B4-BE49-F238E27FC236}">
              <a16:creationId xmlns:a16="http://schemas.microsoft.com/office/drawing/2014/main" id="{882DCA4C-70C3-4C1C-818D-089899DB1549}"/>
            </a:ext>
          </a:extLst>
        </xdr:cNvPr>
        <xdr:cNvSpPr txBox="1"/>
      </xdr:nvSpPr>
      <xdr:spPr>
        <a:xfrm>
          <a:off x="1697832" y="5007770"/>
          <a:ext cx="659605" cy="395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5D3E8A-FFF7-45DF-8362-15531A4B8E2B}" type="TxLink">
            <a:rPr lang="en-US" sz="1400" b="0" i="0" u="none" strike="noStrike" baseline="0">
              <a:solidFill>
                <a:srgbClr val="000000"/>
              </a:solidFill>
              <a:latin typeface="Calibri"/>
              <a:ea typeface="Calibri"/>
              <a:cs typeface="Calibri"/>
            </a:rPr>
            <a:t>2307</a:t>
          </a:fld>
          <a:endParaRPr lang="en-US" sz="1400" b="1"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219077</xdr:colOff>
      <xdr:row>29</xdr:row>
      <xdr:rowOff>142874</xdr:rowOff>
    </xdr:from>
    <xdr:to>
      <xdr:col>3</xdr:col>
      <xdr:colOff>202406</xdr:colOff>
      <xdr:row>31</xdr:row>
      <xdr:rowOff>107156</xdr:rowOff>
    </xdr:to>
    <xdr:sp macro="" textlink="Pivot!$B$17">
      <xdr:nvSpPr>
        <xdr:cNvPr id="75" name="TextBox 74">
          <a:extLst>
            <a:ext uri="{FF2B5EF4-FFF2-40B4-BE49-F238E27FC236}">
              <a16:creationId xmlns:a16="http://schemas.microsoft.com/office/drawing/2014/main" id="{FFA671D2-E0E7-4134-BA86-5B39834D6D52}"/>
            </a:ext>
          </a:extLst>
        </xdr:cNvPr>
        <xdr:cNvSpPr txBox="1"/>
      </xdr:nvSpPr>
      <xdr:spPr>
        <a:xfrm>
          <a:off x="1600202" y="5322093"/>
          <a:ext cx="673892"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3554F0E-2801-42E2-A722-260791EBE2CF}" type="TxLink">
            <a:rPr lang="en-US" sz="1400" b="0" i="0" u="none" strike="noStrike" baseline="0">
              <a:solidFill>
                <a:srgbClr val="000000"/>
              </a:solidFill>
              <a:latin typeface="Calibri"/>
              <a:ea typeface="Calibri"/>
              <a:cs typeface="Calibri"/>
            </a:rPr>
            <a:pPr marL="0" indent="0"/>
            <a:t>1041</a:t>
          </a:fld>
          <a:endParaRPr lang="en-US" sz="1400" b="0" i="0" u="none" strike="noStrike" baseline="0">
            <a:solidFill>
              <a:srgbClr val="000000"/>
            </a:solidFill>
            <a:latin typeface="Calibri"/>
            <a:ea typeface="Calibri"/>
            <a:cs typeface="Calibri"/>
          </a:endParaRPr>
        </a:p>
      </xdr:txBody>
    </xdr:sp>
    <xdr:clientData/>
  </xdr:twoCellAnchor>
  <xdr:twoCellAnchor>
    <xdr:from>
      <xdr:col>4</xdr:col>
      <xdr:colOff>442914</xdr:colOff>
      <xdr:row>28</xdr:row>
      <xdr:rowOff>14290</xdr:rowOff>
    </xdr:from>
    <xdr:to>
      <xdr:col>5</xdr:col>
      <xdr:colOff>411956</xdr:colOff>
      <xdr:row>30</xdr:row>
      <xdr:rowOff>-1</xdr:rowOff>
    </xdr:to>
    <xdr:sp macro="" textlink="Pivot!$B$16">
      <xdr:nvSpPr>
        <xdr:cNvPr id="76" name="TextBox 75">
          <a:extLst>
            <a:ext uri="{FF2B5EF4-FFF2-40B4-BE49-F238E27FC236}">
              <a16:creationId xmlns:a16="http://schemas.microsoft.com/office/drawing/2014/main" id="{FC7AF8BD-8E20-4ECC-8E81-D9ACA73EB029}"/>
            </a:ext>
          </a:extLst>
        </xdr:cNvPr>
        <xdr:cNvSpPr txBox="1"/>
      </xdr:nvSpPr>
      <xdr:spPr>
        <a:xfrm>
          <a:off x="3205164" y="5014915"/>
          <a:ext cx="659605" cy="342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FCEC99E-EE40-470A-8781-C591759AB9A7}" type="TxLink">
            <a:rPr lang="en-US" sz="1400" b="0" i="0" u="none" strike="noStrike" baseline="0">
              <a:solidFill>
                <a:srgbClr val="000000"/>
              </a:solidFill>
              <a:latin typeface="Calibri"/>
              <a:ea typeface="Calibri"/>
              <a:cs typeface="Calibri"/>
            </a:rPr>
            <a:pPr marL="0" indent="0"/>
            <a:t>720</a:t>
          </a:fld>
          <a:endParaRPr lang="en-US" sz="1400" b="0" i="0" u="none" strike="noStrike" baseline="0">
            <a:solidFill>
              <a:srgbClr val="000000"/>
            </a:solidFill>
            <a:latin typeface="Calibri"/>
            <a:ea typeface="Calibri"/>
            <a:cs typeface="Calibri"/>
          </a:endParaRPr>
        </a:p>
      </xdr:txBody>
    </xdr:sp>
    <xdr:clientData/>
  </xdr:twoCellAnchor>
  <xdr:twoCellAnchor>
    <xdr:from>
      <xdr:col>4</xdr:col>
      <xdr:colOff>452438</xdr:colOff>
      <xdr:row>29</xdr:row>
      <xdr:rowOff>130972</xdr:rowOff>
    </xdr:from>
    <xdr:to>
      <xdr:col>5</xdr:col>
      <xdr:colOff>421480</xdr:colOff>
      <xdr:row>31</xdr:row>
      <xdr:rowOff>169072</xdr:rowOff>
    </xdr:to>
    <xdr:sp macro="" textlink="Pivot!$B$18">
      <xdr:nvSpPr>
        <xdr:cNvPr id="77" name="TextBox 76">
          <a:extLst>
            <a:ext uri="{FF2B5EF4-FFF2-40B4-BE49-F238E27FC236}">
              <a16:creationId xmlns:a16="http://schemas.microsoft.com/office/drawing/2014/main" id="{AC814D04-506C-4A66-BD07-AAC0482B5BEA}"/>
            </a:ext>
          </a:extLst>
        </xdr:cNvPr>
        <xdr:cNvSpPr txBox="1"/>
      </xdr:nvSpPr>
      <xdr:spPr>
        <a:xfrm>
          <a:off x="3214688" y="5310191"/>
          <a:ext cx="659605" cy="395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1A804CE-7F4B-41F4-A208-F119BCAC2732}" type="TxLink">
            <a:rPr lang="en-US" sz="1400" b="0" i="0" u="none" strike="noStrike" baseline="0">
              <a:solidFill>
                <a:srgbClr val="000000"/>
              </a:solidFill>
              <a:latin typeface="Calibri"/>
              <a:ea typeface="Calibri"/>
              <a:cs typeface="Calibri"/>
            </a:rPr>
            <a:pPr marL="0" indent="0"/>
            <a:t>531</a:t>
          </a:fld>
          <a:endParaRPr lang="en-US" sz="1400" b="0" i="0" u="none" strike="noStrike" baseline="0">
            <a:solidFill>
              <a:srgbClr val="000000"/>
            </a:solidFill>
            <a:latin typeface="Calibri"/>
            <a:ea typeface="Calibri"/>
            <a:cs typeface="Calibri"/>
          </a:endParaRPr>
        </a:p>
      </xdr:txBody>
    </xdr:sp>
    <xdr:clientData/>
  </xdr:twoCellAnchor>
  <xdr:twoCellAnchor>
    <xdr:from>
      <xdr:col>6</xdr:col>
      <xdr:colOff>476251</xdr:colOff>
      <xdr:row>15</xdr:row>
      <xdr:rowOff>107156</xdr:rowOff>
    </xdr:from>
    <xdr:to>
      <xdr:col>11</xdr:col>
      <xdr:colOff>95250</xdr:colOff>
      <xdr:row>18</xdr:row>
      <xdr:rowOff>95249</xdr:rowOff>
    </xdr:to>
    <xdr:sp macro="" textlink="">
      <xdr:nvSpPr>
        <xdr:cNvPr id="78" name="TextBox 77">
          <a:extLst>
            <a:ext uri="{FF2B5EF4-FFF2-40B4-BE49-F238E27FC236}">
              <a16:creationId xmlns:a16="http://schemas.microsoft.com/office/drawing/2014/main" id="{30E0BDF3-802E-40D1-AED4-DD6B8C98B541}"/>
            </a:ext>
          </a:extLst>
        </xdr:cNvPr>
        <xdr:cNvSpPr txBox="1"/>
      </xdr:nvSpPr>
      <xdr:spPr>
        <a:xfrm>
          <a:off x="4619626" y="2786062"/>
          <a:ext cx="3071812"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1" u="none" baseline="0">
              <a:solidFill>
                <a:schemeClr val="bg1">
                  <a:lumMod val="50000"/>
                </a:schemeClr>
              </a:solidFill>
              <a:latin typeface="Calibri" panose="020F0502020204030204" pitchFamily="34" charset="0"/>
              <a:ea typeface="Calibri" panose="020F0502020204030204" pitchFamily="34" charset="0"/>
              <a:cs typeface="Calibri" panose="020F0502020204030204" pitchFamily="34" charset="0"/>
            </a:rPr>
            <a:t>Follow Rules to Avoid Violations</a:t>
          </a:r>
        </a:p>
      </xdr:txBody>
    </xdr:sp>
    <xdr:clientData/>
  </xdr:twoCellAnchor>
  <xdr:twoCellAnchor>
    <xdr:from>
      <xdr:col>7</xdr:col>
      <xdr:colOff>590549</xdr:colOff>
      <xdr:row>29</xdr:row>
      <xdr:rowOff>90488</xdr:rowOff>
    </xdr:from>
    <xdr:to>
      <xdr:col>9</xdr:col>
      <xdr:colOff>269081</xdr:colOff>
      <xdr:row>31</xdr:row>
      <xdr:rowOff>128588</xdr:rowOff>
    </xdr:to>
    <xdr:sp macro="" textlink="">
      <xdr:nvSpPr>
        <xdr:cNvPr id="79" name="TextBox 78">
          <a:extLst>
            <a:ext uri="{FF2B5EF4-FFF2-40B4-BE49-F238E27FC236}">
              <a16:creationId xmlns:a16="http://schemas.microsoft.com/office/drawing/2014/main" id="{44360B87-3EE2-4D69-BB39-0A7F15F4F705}"/>
            </a:ext>
          </a:extLst>
        </xdr:cNvPr>
        <xdr:cNvSpPr txBox="1"/>
      </xdr:nvSpPr>
      <xdr:spPr>
        <a:xfrm>
          <a:off x="5424487" y="5269707"/>
          <a:ext cx="1059657" cy="395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500" b="0" u="none" baseline="0">
              <a:solidFill>
                <a:srgbClr val="00CC00"/>
              </a:solidFill>
              <a:latin typeface="Calibri" panose="020F0502020204030204" pitchFamily="34" charset="0"/>
              <a:ea typeface="Calibri" panose="020F0502020204030204" pitchFamily="34" charset="0"/>
              <a:cs typeface="Calibri" panose="020F0502020204030204" pitchFamily="34" charset="0"/>
            </a:rPr>
            <a:t>STAY SAFE</a:t>
          </a:r>
        </a:p>
        <a:p>
          <a:endParaRPr lang="en-US" sz="1500" b="1" u="none" baseline="0">
            <a:solidFill>
              <a:schemeClr val="bg2">
                <a:lumMod val="1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6</xdr:col>
      <xdr:colOff>119062</xdr:colOff>
      <xdr:row>17</xdr:row>
      <xdr:rowOff>92178</xdr:rowOff>
    </xdr:from>
    <xdr:to>
      <xdr:col>11</xdr:col>
      <xdr:colOff>178592</xdr:colOff>
      <xdr:row>29</xdr:row>
      <xdr:rowOff>76815</xdr:rowOff>
    </xdr:to>
    <xdr:pic>
      <xdr:nvPicPr>
        <xdr:cNvPr id="81" name="Picture 80">
          <a:extLst>
            <a:ext uri="{FF2B5EF4-FFF2-40B4-BE49-F238E27FC236}">
              <a16:creationId xmlns:a16="http://schemas.microsoft.com/office/drawing/2014/main" id="{63AE846B-4B39-4A3C-8D3D-8806810AADC7}"/>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267046" y="3226210"/>
          <a:ext cx="3516183" cy="2196895"/>
        </a:xfrm>
        <a:prstGeom prst="rect">
          <a:avLst/>
        </a:prstGeom>
        <a:ln>
          <a:noFill/>
        </a:ln>
      </xdr:spPr>
    </xdr:pic>
    <xdr:clientData/>
  </xdr:twoCellAnchor>
  <xdr:twoCellAnchor>
    <xdr:from>
      <xdr:col>11</xdr:col>
      <xdr:colOff>335757</xdr:colOff>
      <xdr:row>15</xdr:row>
      <xdr:rowOff>157161</xdr:rowOff>
    </xdr:from>
    <xdr:to>
      <xdr:col>15</xdr:col>
      <xdr:colOff>357186</xdr:colOff>
      <xdr:row>31</xdr:row>
      <xdr:rowOff>42861</xdr:rowOff>
    </xdr:to>
    <xdr:graphicFrame macro="">
      <xdr:nvGraphicFramePr>
        <xdr:cNvPr id="82" name="Chart 81">
          <a:extLst>
            <a:ext uri="{FF2B5EF4-FFF2-40B4-BE49-F238E27FC236}">
              <a16:creationId xmlns:a16="http://schemas.microsoft.com/office/drawing/2014/main" id="{234A9832-3DBE-492F-8117-755FC70DAA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23812</xdr:colOff>
      <xdr:row>9</xdr:row>
      <xdr:rowOff>71437</xdr:rowOff>
    </xdr:from>
    <xdr:to>
      <xdr:col>20</xdr:col>
      <xdr:colOff>452437</xdr:colOff>
      <xdr:row>30</xdr:row>
      <xdr:rowOff>83343</xdr:rowOff>
    </xdr:to>
    <xdr:graphicFrame macro="">
      <xdr:nvGraphicFramePr>
        <xdr:cNvPr id="88" name="Chart 87">
          <a:extLst>
            <a:ext uri="{FF2B5EF4-FFF2-40B4-BE49-F238E27FC236}">
              <a16:creationId xmlns:a16="http://schemas.microsoft.com/office/drawing/2014/main" id="{0B08C8ED-B3D7-427D-AF6C-1F270AF55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333375</xdr:colOff>
      <xdr:row>33</xdr:row>
      <xdr:rowOff>4762</xdr:rowOff>
    </xdr:from>
    <xdr:to>
      <xdr:col>5</xdr:col>
      <xdr:colOff>607218</xdr:colOff>
      <xdr:row>48</xdr:row>
      <xdr:rowOff>69056</xdr:rowOff>
    </xdr:to>
    <xdr:graphicFrame macro="">
      <xdr:nvGraphicFramePr>
        <xdr:cNvPr id="89" name="Chart 88">
          <a:extLst>
            <a:ext uri="{FF2B5EF4-FFF2-40B4-BE49-F238E27FC236}">
              <a16:creationId xmlns:a16="http://schemas.microsoft.com/office/drawing/2014/main" id="{C1B5CBCE-83AB-4DDD-9E9F-DB46514353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347664</xdr:colOff>
      <xdr:row>32</xdr:row>
      <xdr:rowOff>157160</xdr:rowOff>
    </xdr:from>
    <xdr:to>
      <xdr:col>11</xdr:col>
      <xdr:colOff>130968</xdr:colOff>
      <xdr:row>48</xdr:row>
      <xdr:rowOff>42860</xdr:rowOff>
    </xdr:to>
    <xdr:graphicFrame macro="">
      <xdr:nvGraphicFramePr>
        <xdr:cNvPr id="90" name="Chart 89">
          <a:extLst>
            <a:ext uri="{FF2B5EF4-FFF2-40B4-BE49-F238E27FC236}">
              <a16:creationId xmlns:a16="http://schemas.microsoft.com/office/drawing/2014/main" id="{717C61B2-A9F1-494C-9444-5EDA40098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511969</xdr:colOff>
      <xdr:row>32</xdr:row>
      <xdr:rowOff>166688</xdr:rowOff>
    </xdr:from>
    <xdr:to>
      <xdr:col>15</xdr:col>
      <xdr:colOff>380998</xdr:colOff>
      <xdr:row>48</xdr:row>
      <xdr:rowOff>52388</xdr:rowOff>
    </xdr:to>
    <xdr:graphicFrame macro="">
      <xdr:nvGraphicFramePr>
        <xdr:cNvPr id="91" name="Chart 90">
          <a:extLst>
            <a:ext uri="{FF2B5EF4-FFF2-40B4-BE49-F238E27FC236}">
              <a16:creationId xmlns:a16="http://schemas.microsoft.com/office/drawing/2014/main" id="{29F4D81F-49F3-4601-B257-0CB5902D6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585789</xdr:colOff>
      <xdr:row>32</xdr:row>
      <xdr:rowOff>142877</xdr:rowOff>
    </xdr:from>
    <xdr:to>
      <xdr:col>20</xdr:col>
      <xdr:colOff>476251</xdr:colOff>
      <xdr:row>48</xdr:row>
      <xdr:rowOff>28577</xdr:rowOff>
    </xdr:to>
    <xdr:graphicFrame macro="">
      <xdr:nvGraphicFramePr>
        <xdr:cNvPr id="92" name="Chart 91">
          <a:extLst>
            <a:ext uri="{FF2B5EF4-FFF2-40B4-BE49-F238E27FC236}">
              <a16:creationId xmlns:a16="http://schemas.microsoft.com/office/drawing/2014/main" id="{03FF40C6-1A4C-4C61-8665-854E2CAEF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15</xdr:col>
      <xdr:colOff>130968</xdr:colOff>
      <xdr:row>2</xdr:row>
      <xdr:rowOff>107155</xdr:rowOff>
    </xdr:from>
    <xdr:to>
      <xdr:col>17</xdr:col>
      <xdr:colOff>511968</xdr:colOff>
      <xdr:row>7</xdr:row>
      <xdr:rowOff>59532</xdr:rowOff>
    </xdr:to>
    <mc:AlternateContent xmlns:mc="http://schemas.openxmlformats.org/markup-compatibility/2006">
      <mc:Choice xmlns:a14="http://schemas.microsoft.com/office/drawing/2010/main" Requires="a14">
        <xdr:graphicFrame macro="">
          <xdr:nvGraphicFramePr>
            <xdr:cNvPr id="93" name="Year ">
              <a:extLst>
                <a:ext uri="{FF2B5EF4-FFF2-40B4-BE49-F238E27FC236}">
                  <a16:creationId xmlns:a16="http://schemas.microsoft.com/office/drawing/2014/main" id="{58E4BFE4-34D3-475E-A4BF-4585818F2795}"/>
                </a:ext>
              </a:extLst>
            </xdr:cNvPr>
            <xdr:cNvGraphicFramePr/>
          </xdr:nvGraphicFramePr>
          <xdr:xfrm>
            <a:off x="0" y="0"/>
            <a:ext cx="0" cy="0"/>
          </xdr:xfrm>
          <a:graphic>
            <a:graphicData uri="http://schemas.microsoft.com/office/drawing/2010/slicer">
              <sle:slicer xmlns:sle="http://schemas.microsoft.com/office/drawing/2010/slicer" name="Year "/>
            </a:graphicData>
          </a:graphic>
        </xdr:graphicFrame>
      </mc:Choice>
      <mc:Fallback>
        <xdr:sp macro="" textlink="">
          <xdr:nvSpPr>
            <xdr:cNvPr id="0" name=""/>
            <xdr:cNvSpPr>
              <a:spLocks noTextEdit="1"/>
            </xdr:cNvSpPr>
          </xdr:nvSpPr>
          <xdr:spPr>
            <a:xfrm>
              <a:off x="10500928" y="475865"/>
              <a:ext cx="1763661" cy="874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0.28552</cdr:x>
      <cdr:y>0.35939</cdr:y>
    </cdr:from>
    <cdr:to>
      <cdr:x>0.77037</cdr:x>
      <cdr:y>0.66973</cdr:y>
    </cdr:to>
    <cdr:sp macro="" textlink="Pivot!$C$17">
      <cdr:nvSpPr>
        <cdr:cNvPr id="2" name="TextBox 34">
          <a:extLst xmlns:a="http://schemas.openxmlformats.org/drawingml/2006/main">
            <a:ext uri="{FF2B5EF4-FFF2-40B4-BE49-F238E27FC236}">
              <a16:creationId xmlns:a16="http://schemas.microsoft.com/office/drawing/2014/main" id="{0320AE9C-B54B-4CD3-ABAA-863A4410ED8B}"/>
            </a:ext>
          </a:extLst>
        </cdr:cNvPr>
        <cdr:cNvSpPr txBox="1"/>
      </cdr:nvSpPr>
      <cdr:spPr>
        <a:xfrm xmlns:a="http://schemas.openxmlformats.org/drawingml/2006/main">
          <a:off x="336550" y="372269"/>
          <a:ext cx="571501" cy="32146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3DDDD017-EECC-4C12-B4B0-2EE0FF8B9C19}"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45%</a:t>
          </a:fld>
          <a:endParaRPr lang="en-US" sz="1400" b="1">
            <a:latin typeface="Calibri" panose="020F0502020204030204" pitchFamily="34" charset="0"/>
            <a:ea typeface="Calibri" panose="020F0502020204030204" pitchFamily="34" charset="0"/>
            <a:cs typeface="Calibri" panose="020F050202020403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0.30773</cdr:x>
      <cdr:y>0.3479</cdr:y>
    </cdr:from>
    <cdr:to>
      <cdr:x>0.73345</cdr:x>
      <cdr:y>0.65824</cdr:y>
    </cdr:to>
    <cdr:sp macro="" textlink="Pivot!$C$16">
      <cdr:nvSpPr>
        <cdr:cNvPr id="2" name="TextBox 34">
          <a:extLst xmlns:a="http://schemas.openxmlformats.org/drawingml/2006/main">
            <a:ext uri="{FF2B5EF4-FFF2-40B4-BE49-F238E27FC236}">
              <a16:creationId xmlns:a16="http://schemas.microsoft.com/office/drawing/2014/main" id="{0320AE9C-B54B-4CD3-ABAA-863A4410ED8B}"/>
            </a:ext>
          </a:extLst>
        </cdr:cNvPr>
        <cdr:cNvSpPr txBox="1"/>
      </cdr:nvSpPr>
      <cdr:spPr>
        <a:xfrm xmlns:a="http://schemas.openxmlformats.org/drawingml/2006/main">
          <a:off x="409628" y="360366"/>
          <a:ext cx="566685" cy="32146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42FE3268-F6EA-40F4-9675-5B190B8BF966}" type="TxLink">
            <a:rPr lang="en-US" sz="1400" b="1" i="0" u="none" strike="noStrike">
              <a:solidFill>
                <a:srgbClr val="000000"/>
              </a:solidFill>
              <a:latin typeface="Aptos Narrow"/>
              <a:ea typeface="Calibri" panose="020F0502020204030204" pitchFamily="34" charset="0"/>
              <a:cs typeface="Calibri" panose="020F0502020204030204" pitchFamily="34" charset="0"/>
            </a:rPr>
            <a:t>31%</a:t>
          </a:fld>
          <a:endParaRPr lang="en-US" sz="1400" b="1">
            <a:latin typeface="Calibri" panose="020F0502020204030204" pitchFamily="34" charset="0"/>
            <a:ea typeface="Calibri" panose="020F0502020204030204" pitchFamily="34" charset="0"/>
            <a:cs typeface="Calibri" panose="020F050202020403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0.36159</cdr:x>
      <cdr:y>0.34816</cdr:y>
    </cdr:from>
    <cdr:to>
      <cdr:x>0.78731</cdr:x>
      <cdr:y>0.6585</cdr:y>
    </cdr:to>
    <cdr:sp macro="" textlink="Pivot!$C$18">
      <cdr:nvSpPr>
        <cdr:cNvPr id="2" name="TextBox 34">
          <a:extLst xmlns:a="http://schemas.openxmlformats.org/drawingml/2006/main">
            <a:ext uri="{FF2B5EF4-FFF2-40B4-BE49-F238E27FC236}">
              <a16:creationId xmlns:a16="http://schemas.microsoft.com/office/drawing/2014/main" id="{0320AE9C-B54B-4CD3-ABAA-863A4410ED8B}"/>
            </a:ext>
          </a:extLst>
        </cdr:cNvPr>
        <cdr:cNvSpPr txBox="1"/>
      </cdr:nvSpPr>
      <cdr:spPr>
        <a:xfrm xmlns:a="http://schemas.openxmlformats.org/drawingml/2006/main">
          <a:off x="517486" y="368925"/>
          <a:ext cx="609260" cy="32885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3951A13C-61A1-4B0D-A509-C86E0E218FA2}" type="TxLink">
            <a:rPr lang="en-US" sz="14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23%</a:t>
          </a:fld>
          <a:endParaRPr lang="en-US" sz="1400" b="1">
            <a:latin typeface="Calibri" panose="020F0502020204030204" pitchFamily="34" charset="0"/>
            <a:ea typeface="Calibri" panose="020F0502020204030204" pitchFamily="34" charset="0"/>
            <a:cs typeface="Calibri" panose="020F050202020403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0.52239</cdr:x>
      <cdr:y>0.47785</cdr:y>
    </cdr:from>
    <cdr:to>
      <cdr:x>0.66791</cdr:x>
      <cdr:y>0.54747</cdr:y>
    </cdr:to>
    <cdr:sp macro="" textlink="">
      <cdr:nvSpPr>
        <cdr:cNvPr id="2" name="TextBox 1">
          <a:extLst xmlns:a="http://schemas.openxmlformats.org/drawingml/2006/main">
            <a:ext uri="{FF2B5EF4-FFF2-40B4-BE49-F238E27FC236}">
              <a16:creationId xmlns:a16="http://schemas.microsoft.com/office/drawing/2014/main" id="{0D9B7D82-BA0E-422E-87AC-EA1804643F8D}"/>
            </a:ext>
          </a:extLst>
        </cdr:cNvPr>
        <cdr:cNvSpPr txBox="1"/>
      </cdr:nvSpPr>
      <cdr:spPr>
        <a:xfrm xmlns:a="http://schemas.openxmlformats.org/drawingml/2006/main">
          <a:off x="1666876" y="1797845"/>
          <a:ext cx="464343" cy="2619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0.48134</cdr:x>
      <cdr:y>0.50949</cdr:y>
    </cdr:from>
    <cdr:to>
      <cdr:x>0.74254</cdr:x>
      <cdr:y>0.56962</cdr:y>
    </cdr:to>
    <cdr:sp macro="" textlink="Pivot!$F$15">
      <cdr:nvSpPr>
        <cdr:cNvPr id="3" name="TextBox 2">
          <a:extLst xmlns:a="http://schemas.openxmlformats.org/drawingml/2006/main">
            <a:ext uri="{FF2B5EF4-FFF2-40B4-BE49-F238E27FC236}">
              <a16:creationId xmlns:a16="http://schemas.microsoft.com/office/drawing/2014/main" id="{A4F71CDD-4F3C-4CD9-8E36-C7F4E295CEC3}"/>
            </a:ext>
          </a:extLst>
        </cdr:cNvPr>
        <cdr:cNvSpPr txBox="1"/>
      </cdr:nvSpPr>
      <cdr:spPr>
        <a:xfrm xmlns:a="http://schemas.openxmlformats.org/drawingml/2006/main">
          <a:off x="1535906" y="1916907"/>
          <a:ext cx="833438" cy="2262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C1B9AB92-983A-41DF-9840-B0F2BE3D84E6}" type="TxLink">
            <a:rPr lang="en-US" sz="1200" b="0" i="0" u="none" strike="noStrike">
              <a:solidFill>
                <a:srgbClr val="000000"/>
              </a:solidFill>
              <a:latin typeface="Aptos Narrow"/>
            </a:rPr>
            <a:t>Tokyo - 37</a:t>
          </a:fld>
          <a:endParaRPr lang="en-US" sz="1200"/>
        </a:p>
      </cdr:txBody>
    </cdr:sp>
  </cdr:relSizeAnchor>
  <cdr:relSizeAnchor xmlns:cdr="http://schemas.openxmlformats.org/drawingml/2006/chartDrawing">
    <cdr:from>
      <cdr:x>0.4806</cdr:x>
      <cdr:y>0.55633</cdr:y>
    </cdr:from>
    <cdr:to>
      <cdr:x>0.70075</cdr:x>
      <cdr:y>0.61646</cdr:y>
    </cdr:to>
    <cdr:sp macro="" textlink="">
      <cdr:nvSpPr>
        <cdr:cNvPr id="5" name="TextBox 4">
          <a:extLst xmlns:a="http://schemas.openxmlformats.org/drawingml/2006/main">
            <a:ext uri="{FF2B5EF4-FFF2-40B4-BE49-F238E27FC236}">
              <a16:creationId xmlns:a16="http://schemas.microsoft.com/office/drawing/2014/main" id="{3011FC66-A4BC-49B7-9B30-50B69C0A91B4}"/>
            </a:ext>
          </a:extLst>
        </cdr:cNvPr>
        <cdr:cNvSpPr txBox="1"/>
      </cdr:nvSpPr>
      <cdr:spPr>
        <a:xfrm xmlns:a="http://schemas.openxmlformats.org/drawingml/2006/main">
          <a:off x="1533525" y="2093120"/>
          <a:ext cx="702469" cy="22621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0.47313</cdr:x>
      <cdr:y>0.54747</cdr:y>
    </cdr:from>
    <cdr:to>
      <cdr:x>0.83209</cdr:x>
      <cdr:y>0.62342</cdr:y>
    </cdr:to>
    <cdr:sp macro="" textlink="Pivot!$F$16">
      <cdr:nvSpPr>
        <cdr:cNvPr id="6" name="TextBox 5">
          <a:extLst xmlns:a="http://schemas.openxmlformats.org/drawingml/2006/main">
            <a:ext uri="{FF2B5EF4-FFF2-40B4-BE49-F238E27FC236}">
              <a16:creationId xmlns:a16="http://schemas.microsoft.com/office/drawing/2014/main" id="{D9381812-4C83-4DBE-890B-F00CB4480437}"/>
            </a:ext>
          </a:extLst>
        </cdr:cNvPr>
        <cdr:cNvSpPr txBox="1"/>
      </cdr:nvSpPr>
      <cdr:spPr>
        <a:xfrm xmlns:a="http://schemas.openxmlformats.org/drawingml/2006/main">
          <a:off x="1509712" y="2059781"/>
          <a:ext cx="1145383" cy="2857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indent="0"/>
          <a:fld id="{52E60C2C-8171-4C12-93F3-511149CBADF6}" type="TxLink">
            <a:rPr lang="en-US" sz="1200" b="0" i="0" u="none" strike="noStrike">
              <a:solidFill>
                <a:srgbClr val="000000"/>
              </a:solidFill>
              <a:latin typeface="Aptos Narrow"/>
              <a:ea typeface="+mn-ea"/>
              <a:cs typeface="+mn-cs"/>
            </a:rPr>
            <a:pPr marL="0" indent="0"/>
            <a:t>Singapore - 54</a:t>
          </a:fld>
          <a:endParaRPr lang="en-US" sz="1200" b="0" i="0" u="none" strike="noStrike">
            <a:solidFill>
              <a:srgbClr val="000000"/>
            </a:solidFill>
            <a:latin typeface="Aptos Narrow"/>
            <a:ea typeface="+mn-ea"/>
            <a:cs typeface="+mn-cs"/>
          </a:endParaRPr>
        </a:p>
      </cdr:txBody>
    </cdr:sp>
  </cdr:relSizeAnchor>
  <cdr:relSizeAnchor xmlns:cdr="http://schemas.openxmlformats.org/drawingml/2006/chartDrawing">
    <cdr:from>
      <cdr:x>0.47985</cdr:x>
      <cdr:y>0.59114</cdr:y>
    </cdr:from>
    <cdr:to>
      <cdr:x>0.79776</cdr:x>
      <cdr:y>0.65696</cdr:y>
    </cdr:to>
    <cdr:sp macro="" textlink="Pivot!$F$17">
      <cdr:nvSpPr>
        <cdr:cNvPr id="7" name="TextBox 6">
          <a:extLst xmlns:a="http://schemas.openxmlformats.org/drawingml/2006/main">
            <a:ext uri="{FF2B5EF4-FFF2-40B4-BE49-F238E27FC236}">
              <a16:creationId xmlns:a16="http://schemas.microsoft.com/office/drawing/2014/main" id="{F795C054-EFB7-4676-9918-2B23F393A149}"/>
            </a:ext>
          </a:extLst>
        </cdr:cNvPr>
        <cdr:cNvSpPr txBox="1"/>
      </cdr:nvSpPr>
      <cdr:spPr>
        <a:xfrm xmlns:a="http://schemas.openxmlformats.org/drawingml/2006/main">
          <a:off x="1531142" y="2224087"/>
          <a:ext cx="1014413" cy="2476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indent="0"/>
          <a:fld id="{D8799178-307F-410B-A885-FA3EE493EDA2}" type="TxLink">
            <a:rPr lang="en-US" sz="1200" b="0" i="0" u="none" strike="noStrike">
              <a:solidFill>
                <a:srgbClr val="000000"/>
              </a:solidFill>
              <a:latin typeface="Aptos Narrow"/>
              <a:ea typeface="+mn-ea"/>
              <a:cs typeface="+mn-cs"/>
            </a:rPr>
            <a:pPr marL="0" indent="0"/>
            <a:t>Paris - 68</a:t>
          </a:fld>
          <a:endParaRPr lang="en-US" sz="1200" b="0" i="0" u="none" strike="noStrike">
            <a:solidFill>
              <a:srgbClr val="000000"/>
            </a:solidFill>
            <a:latin typeface="Aptos Narrow"/>
            <a:ea typeface="+mn-ea"/>
            <a:cs typeface="+mn-cs"/>
          </a:endParaRPr>
        </a:p>
      </cdr:txBody>
    </cdr:sp>
  </cdr:relSizeAnchor>
  <cdr:relSizeAnchor xmlns:cdr="http://schemas.openxmlformats.org/drawingml/2006/chartDrawing">
    <cdr:from>
      <cdr:x>0.4791</cdr:x>
      <cdr:y>0.6443</cdr:y>
    </cdr:from>
    <cdr:to>
      <cdr:x>0.83582</cdr:x>
      <cdr:y>0.71203</cdr:y>
    </cdr:to>
    <cdr:sp macro="" textlink="Pivot!$F$18">
      <cdr:nvSpPr>
        <cdr:cNvPr id="8" name="TextBox 7">
          <a:extLst xmlns:a="http://schemas.openxmlformats.org/drawingml/2006/main">
            <a:ext uri="{FF2B5EF4-FFF2-40B4-BE49-F238E27FC236}">
              <a16:creationId xmlns:a16="http://schemas.microsoft.com/office/drawing/2014/main" id="{22FBDD0B-0C19-47F0-9645-67E35B64E616}"/>
            </a:ext>
          </a:extLst>
        </cdr:cNvPr>
        <cdr:cNvSpPr txBox="1"/>
      </cdr:nvSpPr>
      <cdr:spPr>
        <a:xfrm xmlns:a="http://schemas.openxmlformats.org/drawingml/2006/main">
          <a:off x="1528760" y="2424112"/>
          <a:ext cx="1138240" cy="25479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indent="0"/>
          <a:fld id="{82F4B895-597D-4081-8887-4E6C2A353B04}" type="TxLink">
            <a:rPr lang="en-US" sz="1200" b="0" i="0" u="none" strike="noStrike">
              <a:solidFill>
                <a:srgbClr val="000000"/>
              </a:solidFill>
              <a:latin typeface="Aptos Narrow"/>
              <a:ea typeface="+mn-ea"/>
              <a:cs typeface="+mn-cs"/>
            </a:rPr>
            <a:pPr marL="0" indent="0"/>
            <a:t>Mumbai - 121</a:t>
          </a:fld>
          <a:endParaRPr lang="en-US" sz="1200" b="0" i="0" u="none" strike="noStrike">
            <a:solidFill>
              <a:srgbClr val="000000"/>
            </a:solidFill>
            <a:latin typeface="Aptos Narrow"/>
            <a:ea typeface="+mn-ea"/>
            <a:cs typeface="+mn-cs"/>
          </a:endParaRPr>
        </a:p>
      </cdr:txBody>
    </cdr:sp>
  </cdr:relSizeAnchor>
  <cdr:relSizeAnchor xmlns:cdr="http://schemas.openxmlformats.org/drawingml/2006/chartDrawing">
    <cdr:from>
      <cdr:x>0.47836</cdr:x>
      <cdr:y>0.69747</cdr:y>
    </cdr:from>
    <cdr:to>
      <cdr:x>0.79627</cdr:x>
      <cdr:y>0.76329</cdr:y>
    </cdr:to>
    <cdr:sp macro="" textlink="Pivot!$F$19">
      <cdr:nvSpPr>
        <cdr:cNvPr id="9" name="TextBox 8">
          <a:extLst xmlns:a="http://schemas.openxmlformats.org/drawingml/2006/main">
            <a:ext uri="{FF2B5EF4-FFF2-40B4-BE49-F238E27FC236}">
              <a16:creationId xmlns:a16="http://schemas.microsoft.com/office/drawing/2014/main" id="{BCD9A05C-1719-482F-9F5F-17FDF0D5B2C4}"/>
            </a:ext>
          </a:extLst>
        </cdr:cNvPr>
        <cdr:cNvSpPr txBox="1"/>
      </cdr:nvSpPr>
      <cdr:spPr>
        <a:xfrm xmlns:a="http://schemas.openxmlformats.org/drawingml/2006/main">
          <a:off x="1526380" y="2624138"/>
          <a:ext cx="1014413" cy="2476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indent="0"/>
          <a:fld id="{AA5465B7-959F-4088-9457-0A097448551F}" type="TxLink">
            <a:rPr lang="en-US" sz="1200" b="0" i="0" u="none" strike="noStrike">
              <a:solidFill>
                <a:srgbClr val="000000"/>
              </a:solidFill>
              <a:latin typeface="Aptos Narrow"/>
              <a:ea typeface="+mn-ea"/>
              <a:cs typeface="+mn-cs"/>
            </a:rPr>
            <a:pPr marL="0" indent="0"/>
            <a:t>Sydney - 126</a:t>
          </a:fld>
          <a:endParaRPr lang="en-US" sz="1200" b="0" i="0" u="none" strike="noStrike">
            <a:solidFill>
              <a:srgbClr val="000000"/>
            </a:solidFill>
            <a:latin typeface="Aptos Narrow"/>
            <a:ea typeface="+mn-ea"/>
            <a:cs typeface="+mn-cs"/>
          </a:endParaRPr>
        </a:p>
      </cdr:txBody>
    </cdr:sp>
  </cdr:relSizeAnchor>
  <cdr:relSizeAnchor xmlns:cdr="http://schemas.openxmlformats.org/drawingml/2006/chartDrawing">
    <cdr:from>
      <cdr:x>0.47761</cdr:x>
      <cdr:y>0.74747</cdr:y>
    </cdr:from>
    <cdr:to>
      <cdr:x>0.79552</cdr:x>
      <cdr:y>0.81329</cdr:y>
    </cdr:to>
    <cdr:sp macro="" textlink="Pivot!$F$20">
      <cdr:nvSpPr>
        <cdr:cNvPr id="10" name="TextBox 9">
          <a:extLst xmlns:a="http://schemas.openxmlformats.org/drawingml/2006/main">
            <a:ext uri="{FF2B5EF4-FFF2-40B4-BE49-F238E27FC236}">
              <a16:creationId xmlns:a16="http://schemas.microsoft.com/office/drawing/2014/main" id="{6ECA11BA-3C4C-4D18-82A8-C911E14D44B9}"/>
            </a:ext>
          </a:extLst>
        </cdr:cNvPr>
        <cdr:cNvSpPr txBox="1"/>
      </cdr:nvSpPr>
      <cdr:spPr>
        <a:xfrm xmlns:a="http://schemas.openxmlformats.org/drawingml/2006/main">
          <a:off x="1523999" y="2812257"/>
          <a:ext cx="1014413" cy="2476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indent="0"/>
          <a:fld id="{8503CCC4-6494-4BFB-BC19-F0BA9E1C7D09}" type="TxLink">
            <a:rPr lang="en-US" sz="1200" b="0" i="0" u="none" strike="noStrike">
              <a:solidFill>
                <a:srgbClr val="000000"/>
              </a:solidFill>
              <a:latin typeface="Aptos Narrow"/>
              <a:ea typeface="+mn-ea"/>
              <a:cs typeface="+mn-cs"/>
            </a:rPr>
            <a:pPr marL="0" indent="0"/>
            <a:t>London - 147</a:t>
          </a:fld>
          <a:endParaRPr lang="en-US" sz="1200" b="0" i="0" u="none" strike="noStrike">
            <a:solidFill>
              <a:srgbClr val="000000"/>
            </a:solidFill>
            <a:latin typeface="Aptos Narrow"/>
            <a:ea typeface="+mn-ea"/>
            <a:cs typeface="+mn-cs"/>
          </a:endParaRPr>
        </a:p>
      </cdr:txBody>
    </cdr:sp>
  </cdr:relSizeAnchor>
  <cdr:relSizeAnchor xmlns:cdr="http://schemas.openxmlformats.org/drawingml/2006/chartDrawing">
    <cdr:from>
      <cdr:x>0.47687</cdr:x>
      <cdr:y>0.78797</cdr:y>
    </cdr:from>
    <cdr:to>
      <cdr:x>0.79478</cdr:x>
      <cdr:y>0.8538</cdr:y>
    </cdr:to>
    <cdr:sp macro="" textlink="Pivot!$F$21">
      <cdr:nvSpPr>
        <cdr:cNvPr id="11" name="TextBox 10">
          <a:extLst xmlns:a="http://schemas.openxmlformats.org/drawingml/2006/main">
            <a:ext uri="{FF2B5EF4-FFF2-40B4-BE49-F238E27FC236}">
              <a16:creationId xmlns:a16="http://schemas.microsoft.com/office/drawing/2014/main" id="{7EC36402-7530-4512-A15D-37710F7AB648}"/>
            </a:ext>
          </a:extLst>
        </cdr:cNvPr>
        <cdr:cNvSpPr txBox="1"/>
      </cdr:nvSpPr>
      <cdr:spPr>
        <a:xfrm xmlns:a="http://schemas.openxmlformats.org/drawingml/2006/main">
          <a:off x="1521618" y="2964657"/>
          <a:ext cx="1014413" cy="24765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indent="0"/>
          <a:fld id="{6E82A558-27E2-4BCC-A994-C7881809F3A9}" type="TxLink">
            <a:rPr lang="en-US" sz="1200" b="0" i="0" u="none" strike="noStrike">
              <a:solidFill>
                <a:srgbClr val="000000"/>
              </a:solidFill>
              <a:latin typeface="Aptos Narrow"/>
              <a:ea typeface="+mn-ea"/>
              <a:cs typeface="+mn-cs"/>
            </a:rPr>
            <a:pPr marL="0" indent="0"/>
            <a:t>New York - 167</a:t>
          </a:fld>
          <a:endParaRPr lang="en-US" sz="1200" b="0" i="0" u="none" strike="noStrike">
            <a:solidFill>
              <a:srgbClr val="000000"/>
            </a:solidFill>
            <a:latin typeface="Aptos Narrow"/>
            <a:ea typeface="+mn-ea"/>
            <a:cs typeface="+mn-cs"/>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oma" refreshedDate="46181.465966898148" createdVersion="7" refreshedVersion="7" minRefreshableVersion="3" recordCount="99" xr:uid="{AF2D4867-139A-4236-BFF9-EC9906764925}">
  <cacheSource type="worksheet">
    <worksheetSource name="Table1"/>
  </cacheSource>
  <cacheFields count="14">
    <cacheField name="Device Name" numFmtId="0">
      <sharedItems/>
    </cacheField>
    <cacheField name="Compliance " numFmtId="0">
      <sharedItems count="4">
        <s v="Severe Violation"/>
        <s v="Compliant"/>
        <s v="Light Violation"/>
        <s v="Medium Violation"/>
      </sharedItems>
    </cacheField>
    <cacheField name="Violation Type" numFmtId="0">
      <sharedItems count="6">
        <s v="Illegal U-turn"/>
        <s v="Seatbelt Violation"/>
        <s v="Red Light Violation"/>
        <s v="Speeding"/>
        <s v="No License"/>
        <s v="No Helmet"/>
      </sharedItems>
    </cacheField>
    <cacheField name="Violation Date" numFmtId="14">
      <sharedItems containsSemiMixedTypes="0" containsNonDate="0" containsDate="1" containsString="0" minDate="2023-01-01T00:00:00" maxDate="2024-12-29T00:00:00"/>
    </cacheField>
    <cacheField name="City" numFmtId="0">
      <sharedItems count="7">
        <s v="New York"/>
        <s v="Tokyo"/>
        <s v="Paris"/>
        <s v="Sydney"/>
        <s v="Mumbai"/>
        <s v="London"/>
        <s v="Singapore"/>
      </sharedItems>
    </cacheField>
    <cacheField name="Total Rules" numFmtId="0">
      <sharedItems containsMixedTypes="1" containsNumber="1" containsInteger="1" minValue="10" maxValue="20" count="16">
        <n v="16"/>
        <s v="10 km/h Speed"/>
        <n v="15"/>
        <n v="18"/>
        <s v="25 km/h Speed"/>
        <n v="20"/>
        <n v="17"/>
        <n v="10"/>
        <s v="50 km/h Speed"/>
        <s v="75 km/h Speed"/>
        <n v="19"/>
        <n v="12"/>
        <n v="13"/>
        <n v="11"/>
        <s v="100 km/h Speed"/>
        <n v="14"/>
      </sharedItems>
    </cacheField>
    <cacheField name="Total Violations" numFmtId="0">
      <sharedItems containsSemiMixedTypes="0" containsString="0" containsNumber="1" minValue="0" maxValue="50"/>
    </cacheField>
    <cacheField name="Active Violations" numFmtId="0">
      <sharedItems containsSemiMixedTypes="0" containsString="0" containsNumber="1" containsInteger="1" minValue="1" maxValue="38"/>
    </cacheField>
    <cacheField name="Solved Violations" numFmtId="0">
      <sharedItems containsSemiMixedTypes="0" containsString="0" containsNumber="1" containsInteger="1" minValue="5" maxValue="15"/>
    </cacheField>
    <cacheField name="Ignored Violations" numFmtId="0">
      <sharedItems containsSemiMixedTypes="0" containsString="0" containsNumber="1" containsInteger="1" minValue="2" maxValue="13"/>
    </cacheField>
    <cacheField name="Solving Time" numFmtId="0">
      <sharedItems count="4">
        <s v="&lt;1 Week"/>
        <s v="&lt;12 Hours"/>
        <s v="&lt;1 Month"/>
        <s v="&lt;1 Day"/>
      </sharedItems>
    </cacheField>
    <cacheField name="Environment Managed" numFmtId="0">
      <sharedItems containsSemiMixedTypes="0" containsString="0" containsNumber="1" containsInteger="1" minValue="10" maxValue="20"/>
    </cacheField>
    <cacheField name="Environment Disabled" numFmtId="0">
      <sharedItems containsSemiMixedTypes="0" containsString="0" containsNumber="1" containsInteger="1" minValue="1" maxValue="5"/>
    </cacheField>
    <cacheField name="Year" numFmtId="0">
      <sharedItems containsSemiMixedTypes="0" containsString="0" containsNumber="1" containsInteger="1" minValue="2023" maxValue="2024" count="2">
        <n v="2023"/>
        <n v="2024"/>
      </sharedItems>
    </cacheField>
  </cacheFields>
  <extLst>
    <ext xmlns:x14="http://schemas.microsoft.com/office/spreadsheetml/2009/9/main" uri="{725AE2AE-9491-48be-B2B4-4EB974FC3084}">
      <x14:pivotCacheDefinition pivotCacheId="20786391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s v="Device_106"/>
    <x v="0"/>
    <x v="0"/>
    <d v="2023-05-01T00:00:00"/>
    <x v="0"/>
    <x v="0"/>
    <n v="50"/>
    <n v="28"/>
    <n v="13"/>
    <n v="6"/>
    <x v="0"/>
    <n v="14"/>
    <n v="4"/>
    <x v="0"/>
  </r>
  <r>
    <s v="Device_107"/>
    <x v="1"/>
    <x v="1"/>
    <d v="2024-11-19T00:00:00"/>
    <x v="1"/>
    <x v="0"/>
    <n v="14"/>
    <n v="5"/>
    <n v="6"/>
    <n v="4"/>
    <x v="1"/>
    <n v="19"/>
    <n v="2"/>
    <x v="1"/>
  </r>
  <r>
    <s v="Device_108"/>
    <x v="2"/>
    <x v="2"/>
    <d v="2024-11-05T00:00:00"/>
    <x v="2"/>
    <x v="0"/>
    <n v="10"/>
    <n v="9"/>
    <n v="9"/>
    <n v="9"/>
    <x v="0"/>
    <n v="15"/>
    <n v="1"/>
    <x v="1"/>
  </r>
  <r>
    <s v="Device_109"/>
    <x v="3"/>
    <x v="3"/>
    <d v="2024-09-29T00:00:00"/>
    <x v="3"/>
    <x v="1"/>
    <n v="0"/>
    <n v="11"/>
    <n v="5"/>
    <n v="6"/>
    <x v="1"/>
    <n v="11"/>
    <n v="1"/>
    <x v="1"/>
  </r>
  <r>
    <s v="Device_110"/>
    <x v="2"/>
    <x v="1"/>
    <d v="2024-09-07T00:00:00"/>
    <x v="4"/>
    <x v="2"/>
    <n v="10"/>
    <n v="9"/>
    <n v="12"/>
    <n v="4"/>
    <x v="2"/>
    <n v="12"/>
    <n v="1"/>
    <x v="1"/>
  </r>
  <r>
    <s v="Device_111"/>
    <x v="0"/>
    <x v="4"/>
    <d v="2024-06-17T00:00:00"/>
    <x v="1"/>
    <x v="3"/>
    <n v="19"/>
    <n v="9"/>
    <n v="14"/>
    <n v="4"/>
    <x v="0"/>
    <n v="14"/>
    <n v="1"/>
    <x v="1"/>
  </r>
  <r>
    <s v="Device_112"/>
    <x v="2"/>
    <x v="1"/>
    <d v="2023-04-02T00:00:00"/>
    <x v="0"/>
    <x v="0"/>
    <n v="10"/>
    <n v="9"/>
    <n v="6"/>
    <n v="7"/>
    <x v="1"/>
    <n v="17"/>
    <n v="1"/>
    <x v="0"/>
  </r>
  <r>
    <s v="Device_113"/>
    <x v="0"/>
    <x v="3"/>
    <d v="2024-02-13T00:00:00"/>
    <x v="2"/>
    <x v="4"/>
    <n v="15"/>
    <n v="14"/>
    <n v="11"/>
    <n v="4"/>
    <x v="2"/>
    <n v="15"/>
    <n v="4"/>
    <x v="1"/>
  </r>
  <r>
    <s v="Device_114"/>
    <x v="0"/>
    <x v="2"/>
    <d v="2023-06-27T00:00:00"/>
    <x v="3"/>
    <x v="3"/>
    <n v="14"/>
    <n v="1"/>
    <n v="13"/>
    <n v="2"/>
    <x v="2"/>
    <n v="11"/>
    <n v="2"/>
    <x v="0"/>
  </r>
  <r>
    <s v="Device_115"/>
    <x v="0"/>
    <x v="2"/>
    <d v="2023-01-01T00:00:00"/>
    <x v="4"/>
    <x v="5"/>
    <n v="19"/>
    <n v="6"/>
    <n v="13"/>
    <n v="7"/>
    <x v="1"/>
    <n v="14"/>
    <n v="2"/>
    <x v="0"/>
  </r>
  <r>
    <s v="Device_116"/>
    <x v="0"/>
    <x v="1"/>
    <d v="2024-01-22T00:00:00"/>
    <x v="3"/>
    <x v="5"/>
    <n v="14"/>
    <n v="9"/>
    <n v="15"/>
    <n v="3"/>
    <x v="0"/>
    <n v="19"/>
    <n v="1"/>
    <x v="1"/>
  </r>
  <r>
    <s v="Device_117"/>
    <x v="0"/>
    <x v="1"/>
    <d v="2023-01-21T00:00:00"/>
    <x v="4"/>
    <x v="3"/>
    <n v="23"/>
    <n v="12"/>
    <n v="13"/>
    <n v="4"/>
    <x v="0"/>
    <n v="10"/>
    <n v="2"/>
    <x v="0"/>
  </r>
  <r>
    <s v="Device_118"/>
    <x v="2"/>
    <x v="5"/>
    <d v="2024-11-22T00:00:00"/>
    <x v="0"/>
    <x v="3"/>
    <n v="10"/>
    <n v="9"/>
    <n v="15"/>
    <n v="5"/>
    <x v="1"/>
    <n v="16"/>
    <n v="2"/>
    <x v="1"/>
  </r>
  <r>
    <s v="Device_119"/>
    <x v="2"/>
    <x v="1"/>
    <d v="2024-04-15T00:00:00"/>
    <x v="2"/>
    <x v="5"/>
    <n v="10"/>
    <n v="9"/>
    <n v="9"/>
    <n v="2"/>
    <x v="1"/>
    <n v="14"/>
    <n v="5"/>
    <x v="1"/>
  </r>
  <r>
    <s v="Device_120"/>
    <x v="3"/>
    <x v="1"/>
    <d v="2023-10-18T00:00:00"/>
    <x v="1"/>
    <x v="6"/>
    <n v="10"/>
    <n v="9"/>
    <n v="5"/>
    <n v="2"/>
    <x v="3"/>
    <n v="19"/>
    <n v="3"/>
    <x v="0"/>
  </r>
  <r>
    <s v="Device_121"/>
    <x v="1"/>
    <x v="2"/>
    <d v="2023-01-09T00:00:00"/>
    <x v="4"/>
    <x v="0"/>
    <n v="39"/>
    <n v="15"/>
    <n v="5"/>
    <n v="5"/>
    <x v="2"/>
    <n v="18"/>
    <n v="3"/>
    <x v="0"/>
  </r>
  <r>
    <s v="Device_122"/>
    <x v="0"/>
    <x v="5"/>
    <d v="2023-12-05T00:00:00"/>
    <x v="3"/>
    <x v="7"/>
    <n v="35"/>
    <n v="9"/>
    <n v="13"/>
    <n v="2"/>
    <x v="3"/>
    <n v="11"/>
    <n v="5"/>
    <x v="0"/>
  </r>
  <r>
    <s v="Device_123"/>
    <x v="3"/>
    <x v="5"/>
    <d v="2024-01-24T00:00:00"/>
    <x v="0"/>
    <x v="3"/>
    <n v="16"/>
    <n v="30"/>
    <n v="14"/>
    <n v="13"/>
    <x v="2"/>
    <n v="11"/>
    <n v="2"/>
    <x v="1"/>
  </r>
  <r>
    <s v="Device_124"/>
    <x v="0"/>
    <x v="3"/>
    <d v="2024-09-17T00:00:00"/>
    <x v="5"/>
    <x v="8"/>
    <n v="20"/>
    <n v="38"/>
    <n v="5"/>
    <n v="6"/>
    <x v="0"/>
    <n v="11"/>
    <n v="5"/>
    <x v="1"/>
  </r>
  <r>
    <s v="Device_125"/>
    <x v="0"/>
    <x v="0"/>
    <d v="2023-04-23T00:00:00"/>
    <x v="2"/>
    <x v="6"/>
    <n v="46"/>
    <n v="15"/>
    <n v="11"/>
    <n v="2"/>
    <x v="2"/>
    <n v="10"/>
    <n v="5"/>
    <x v="0"/>
  </r>
  <r>
    <s v="Device_126"/>
    <x v="0"/>
    <x v="3"/>
    <d v="2024-02-18T00:00:00"/>
    <x v="3"/>
    <x v="9"/>
    <n v="50"/>
    <n v="28"/>
    <n v="8"/>
    <n v="3"/>
    <x v="0"/>
    <n v="15"/>
    <n v="4"/>
    <x v="1"/>
  </r>
  <r>
    <s v="Device_127"/>
    <x v="3"/>
    <x v="4"/>
    <d v="2023-11-07T00:00:00"/>
    <x v="4"/>
    <x v="7"/>
    <n v="16"/>
    <n v="13"/>
    <n v="6"/>
    <n v="9"/>
    <x v="3"/>
    <n v="18"/>
    <n v="1"/>
    <x v="0"/>
  </r>
  <r>
    <s v="Device_128"/>
    <x v="1"/>
    <x v="1"/>
    <d v="2023-10-10T00:00:00"/>
    <x v="2"/>
    <x v="2"/>
    <n v="10"/>
    <n v="13"/>
    <n v="9"/>
    <n v="7"/>
    <x v="2"/>
    <n v="19"/>
    <n v="4"/>
    <x v="0"/>
  </r>
  <r>
    <s v="Device_129"/>
    <x v="2"/>
    <x v="4"/>
    <d v="2023-11-13T00:00:00"/>
    <x v="0"/>
    <x v="10"/>
    <n v="10"/>
    <n v="11"/>
    <n v="12"/>
    <n v="5"/>
    <x v="1"/>
    <n v="18"/>
    <n v="2"/>
    <x v="0"/>
  </r>
  <r>
    <s v="Device_130"/>
    <x v="0"/>
    <x v="4"/>
    <d v="2024-07-07T00:00:00"/>
    <x v="3"/>
    <x v="11"/>
    <n v="13"/>
    <n v="11"/>
    <n v="14"/>
    <n v="8"/>
    <x v="0"/>
    <n v="13"/>
    <n v="1"/>
    <x v="1"/>
  </r>
  <r>
    <s v="Device_131"/>
    <x v="3"/>
    <x v="5"/>
    <d v="2024-01-07T00:00:00"/>
    <x v="5"/>
    <x v="12"/>
    <n v="16"/>
    <n v="11"/>
    <n v="11"/>
    <n v="6"/>
    <x v="0"/>
    <n v="15"/>
    <n v="1"/>
    <x v="1"/>
  </r>
  <r>
    <s v="Device_132"/>
    <x v="3"/>
    <x v="1"/>
    <d v="2023-12-27T00:00:00"/>
    <x v="4"/>
    <x v="6"/>
    <n v="16"/>
    <n v="4"/>
    <n v="6"/>
    <n v="2"/>
    <x v="1"/>
    <n v="17"/>
    <n v="4"/>
    <x v="0"/>
  </r>
  <r>
    <s v="Device_133"/>
    <x v="2"/>
    <x v="2"/>
    <d v="2024-04-08T00:00:00"/>
    <x v="0"/>
    <x v="6"/>
    <n v="10"/>
    <n v="11"/>
    <n v="9"/>
    <n v="4"/>
    <x v="1"/>
    <n v="15"/>
    <n v="1"/>
    <x v="1"/>
  </r>
  <r>
    <s v="Device_134"/>
    <x v="1"/>
    <x v="1"/>
    <d v="2023-07-02T00:00:00"/>
    <x v="6"/>
    <x v="13"/>
    <n v="18"/>
    <n v="7"/>
    <n v="9"/>
    <n v="7"/>
    <x v="0"/>
    <n v="16"/>
    <n v="5"/>
    <x v="0"/>
  </r>
  <r>
    <s v="Device_135"/>
    <x v="0"/>
    <x v="5"/>
    <d v="2023-09-19T00:00:00"/>
    <x v="3"/>
    <x v="2"/>
    <n v="42"/>
    <n v="2"/>
    <n v="9"/>
    <n v="4"/>
    <x v="2"/>
    <n v="12"/>
    <n v="5"/>
    <x v="0"/>
  </r>
  <r>
    <s v="Device_136"/>
    <x v="3"/>
    <x v="2"/>
    <d v="2024-07-02T00:00:00"/>
    <x v="5"/>
    <x v="2"/>
    <n v="16"/>
    <n v="32"/>
    <n v="11"/>
    <n v="5"/>
    <x v="0"/>
    <n v="19"/>
    <n v="2"/>
    <x v="1"/>
  </r>
  <r>
    <s v="Device_137"/>
    <x v="0"/>
    <x v="4"/>
    <d v="2023-08-10T00:00:00"/>
    <x v="4"/>
    <x v="12"/>
    <n v="17"/>
    <n v="6"/>
    <n v="14"/>
    <n v="4"/>
    <x v="3"/>
    <n v="18"/>
    <n v="3"/>
    <x v="0"/>
  </r>
  <r>
    <s v="Device_138"/>
    <x v="1"/>
    <x v="1"/>
    <d v="2024-06-13T00:00:00"/>
    <x v="0"/>
    <x v="13"/>
    <n v="18"/>
    <n v="11"/>
    <n v="6"/>
    <n v="6"/>
    <x v="1"/>
    <n v="15"/>
    <n v="1"/>
    <x v="1"/>
  </r>
  <r>
    <s v="Device_139"/>
    <x v="2"/>
    <x v="3"/>
    <d v="2024-11-23T00:00:00"/>
    <x v="6"/>
    <x v="14"/>
    <n v="50"/>
    <n v="11"/>
    <n v="11"/>
    <n v="3"/>
    <x v="2"/>
    <n v="13"/>
    <n v="4"/>
    <x v="1"/>
  </r>
  <r>
    <s v="Device_140"/>
    <x v="0"/>
    <x v="0"/>
    <d v="2023-05-27T00:00:00"/>
    <x v="5"/>
    <x v="3"/>
    <n v="41"/>
    <n v="11"/>
    <n v="12"/>
    <n v="4"/>
    <x v="0"/>
    <n v="12"/>
    <n v="3"/>
    <x v="0"/>
  </r>
  <r>
    <s v="Device_141"/>
    <x v="3"/>
    <x v="5"/>
    <d v="2023-02-21T00:00:00"/>
    <x v="3"/>
    <x v="15"/>
    <n v="16"/>
    <n v="9"/>
    <n v="8"/>
    <n v="3"/>
    <x v="1"/>
    <n v="11"/>
    <n v="4"/>
    <x v="0"/>
  </r>
  <r>
    <s v="Device_142"/>
    <x v="0"/>
    <x v="2"/>
    <d v="2024-04-14T00:00:00"/>
    <x v="4"/>
    <x v="6"/>
    <n v="15"/>
    <n v="11"/>
    <n v="9"/>
    <n v="5"/>
    <x v="2"/>
    <n v="17"/>
    <n v="2"/>
    <x v="1"/>
  </r>
  <r>
    <s v="Device_143"/>
    <x v="0"/>
    <x v="1"/>
    <d v="2023-09-10T00:00:00"/>
    <x v="0"/>
    <x v="13"/>
    <n v="23"/>
    <n v="11"/>
    <n v="5"/>
    <n v="6"/>
    <x v="1"/>
    <n v="14"/>
    <n v="5"/>
    <x v="0"/>
  </r>
  <r>
    <s v="Device_144"/>
    <x v="3"/>
    <x v="3"/>
    <d v="2023-06-12T00:00:00"/>
    <x v="3"/>
    <x v="1"/>
    <n v="0"/>
    <n v="7"/>
    <n v="7"/>
    <n v="3"/>
    <x v="0"/>
    <n v="16"/>
    <n v="1"/>
    <x v="0"/>
  </r>
  <r>
    <s v="Device_145"/>
    <x v="2"/>
    <x v="4"/>
    <d v="2024-12-07T00:00:00"/>
    <x v="5"/>
    <x v="12"/>
    <n v="14"/>
    <n v="7"/>
    <n v="13"/>
    <n v="4"/>
    <x v="3"/>
    <n v="20"/>
    <n v="2"/>
    <x v="1"/>
  </r>
  <r>
    <s v="Device_146"/>
    <x v="0"/>
    <x v="4"/>
    <d v="2023-03-10T00:00:00"/>
    <x v="6"/>
    <x v="0"/>
    <n v="12"/>
    <n v="7"/>
    <n v="10"/>
    <n v="7"/>
    <x v="1"/>
    <n v="18"/>
    <n v="1"/>
    <x v="0"/>
  </r>
  <r>
    <s v="Device_147"/>
    <x v="3"/>
    <x v="5"/>
    <d v="2024-05-14T00:00:00"/>
    <x v="4"/>
    <x v="10"/>
    <n v="16"/>
    <n v="17"/>
    <n v="12"/>
    <n v="5"/>
    <x v="3"/>
    <n v="16"/>
    <n v="4"/>
    <x v="1"/>
  </r>
  <r>
    <s v="Device_148"/>
    <x v="2"/>
    <x v="1"/>
    <d v="2024-07-18T00:00:00"/>
    <x v="0"/>
    <x v="13"/>
    <n v="23"/>
    <n v="7"/>
    <n v="7"/>
    <n v="8"/>
    <x v="0"/>
    <n v="17"/>
    <n v="2"/>
    <x v="1"/>
  </r>
  <r>
    <s v="Device_149"/>
    <x v="1"/>
    <x v="0"/>
    <d v="2023-12-23T00:00:00"/>
    <x v="5"/>
    <x v="6"/>
    <n v="18"/>
    <n v="7"/>
    <n v="10"/>
    <n v="6"/>
    <x v="1"/>
    <n v="19"/>
    <n v="1"/>
    <x v="0"/>
  </r>
  <r>
    <s v="Device_150"/>
    <x v="0"/>
    <x v="3"/>
    <d v="2023-08-29T00:00:00"/>
    <x v="6"/>
    <x v="4"/>
    <n v="15"/>
    <n v="7"/>
    <n v="13"/>
    <n v="4"/>
    <x v="2"/>
    <n v="11"/>
    <n v="2"/>
    <x v="0"/>
  </r>
  <r>
    <s v="Device_151"/>
    <x v="0"/>
    <x v="2"/>
    <d v="2023-10-13T00:00:00"/>
    <x v="3"/>
    <x v="12"/>
    <n v="23"/>
    <n v="7"/>
    <n v="9"/>
    <n v="5"/>
    <x v="0"/>
    <n v="15"/>
    <n v="5"/>
    <x v="0"/>
  </r>
  <r>
    <s v="Device_152"/>
    <x v="3"/>
    <x v="4"/>
    <d v="2024-11-12T00:00:00"/>
    <x v="4"/>
    <x v="11"/>
    <n v="16"/>
    <n v="9"/>
    <n v="6"/>
    <n v="2"/>
    <x v="0"/>
    <n v="14"/>
    <n v="3"/>
    <x v="1"/>
  </r>
  <r>
    <s v="Device_153"/>
    <x v="2"/>
    <x v="1"/>
    <d v="2023-01-20T00:00:00"/>
    <x v="5"/>
    <x v="10"/>
    <n v="23"/>
    <n v="7"/>
    <n v="11"/>
    <n v="6"/>
    <x v="2"/>
    <n v="13"/>
    <n v="5"/>
    <x v="0"/>
  </r>
  <r>
    <s v="Device_154"/>
    <x v="0"/>
    <x v="5"/>
    <d v="2024-04-11T00:00:00"/>
    <x v="0"/>
    <x v="0"/>
    <n v="40"/>
    <n v="7"/>
    <n v="12"/>
    <n v="4"/>
    <x v="0"/>
    <n v="12"/>
    <n v="4"/>
    <x v="1"/>
  </r>
  <r>
    <s v="Device_155"/>
    <x v="2"/>
    <x v="2"/>
    <d v="2023-07-22T00:00:00"/>
    <x v="6"/>
    <x v="6"/>
    <n v="23"/>
    <n v="7"/>
    <n v="15"/>
    <n v="5"/>
    <x v="3"/>
    <n v="19"/>
    <n v="3"/>
    <x v="0"/>
  </r>
  <r>
    <s v="Device_156"/>
    <x v="0"/>
    <x v="3"/>
    <d v="2023-03-18T00:00:00"/>
    <x v="3"/>
    <x v="8"/>
    <n v="25"/>
    <n v="7"/>
    <n v="11"/>
    <n v="5"/>
    <x v="1"/>
    <n v="18"/>
    <n v="4"/>
    <x v="0"/>
  </r>
  <r>
    <s v="Device_157"/>
    <x v="2"/>
    <x v="0"/>
    <d v="2024-02-26T00:00:00"/>
    <x v="4"/>
    <x v="10"/>
    <n v="23"/>
    <n v="8"/>
    <n v="15"/>
    <n v="6"/>
    <x v="2"/>
    <n v="16"/>
    <n v="1"/>
    <x v="1"/>
  </r>
  <r>
    <s v="Device_158"/>
    <x v="3"/>
    <x v="4"/>
    <d v="2024-12-17T00:00:00"/>
    <x v="0"/>
    <x v="15"/>
    <n v="15"/>
    <n v="7"/>
    <n v="7"/>
    <n v="5"/>
    <x v="3"/>
    <n v="15"/>
    <n v="3"/>
    <x v="1"/>
  </r>
  <r>
    <s v="Device_159"/>
    <x v="0"/>
    <x v="5"/>
    <d v="2023-05-10T00:00:00"/>
    <x v="5"/>
    <x v="13"/>
    <n v="23"/>
    <n v="7"/>
    <n v="6"/>
    <n v="3"/>
    <x v="0"/>
    <n v="17"/>
    <n v="2"/>
    <x v="0"/>
  </r>
  <r>
    <s v="Device_160"/>
    <x v="0"/>
    <x v="2"/>
    <d v="2024-09-24T00:00:00"/>
    <x v="6"/>
    <x v="0"/>
    <n v="36"/>
    <n v="7"/>
    <n v="9"/>
    <n v="7"/>
    <x v="1"/>
    <n v="13"/>
    <n v="5"/>
    <x v="1"/>
  </r>
  <r>
    <s v="Device_161"/>
    <x v="1"/>
    <x v="1"/>
    <d v="2023-02-14T00:00:00"/>
    <x v="3"/>
    <x v="12"/>
    <n v="18"/>
    <n v="7"/>
    <n v="8"/>
    <n v="6"/>
    <x v="2"/>
    <n v="19"/>
    <n v="4"/>
    <x v="0"/>
  </r>
  <r>
    <s v="Device_162"/>
    <x v="3"/>
    <x v="3"/>
    <d v="2024-12-28T00:00:00"/>
    <x v="4"/>
    <x v="9"/>
    <n v="40"/>
    <n v="7"/>
    <n v="10"/>
    <n v="5"/>
    <x v="3"/>
    <n v="14"/>
    <n v="3"/>
    <x v="1"/>
  </r>
  <r>
    <s v="Device_163"/>
    <x v="2"/>
    <x v="4"/>
    <d v="2024-06-12T00:00:00"/>
    <x v="6"/>
    <x v="2"/>
    <n v="23"/>
    <n v="2"/>
    <n v="12"/>
    <n v="8"/>
    <x v="0"/>
    <n v="12"/>
    <n v="5"/>
    <x v="1"/>
  </r>
  <r>
    <s v="Device_164"/>
    <x v="0"/>
    <x v="5"/>
    <d v="2023-07-10T00:00:00"/>
    <x v="0"/>
    <x v="3"/>
    <n v="41"/>
    <n v="2"/>
    <n v="13"/>
    <n v="4"/>
    <x v="3"/>
    <n v="16"/>
    <n v="2"/>
    <x v="0"/>
  </r>
  <r>
    <s v="Device_165"/>
    <x v="0"/>
    <x v="2"/>
    <d v="2023-11-22T00:00:00"/>
    <x v="5"/>
    <x v="10"/>
    <n v="23"/>
    <n v="4"/>
    <n v="14"/>
    <n v="5"/>
    <x v="2"/>
    <n v="17"/>
    <n v="3"/>
    <x v="0"/>
  </r>
  <r>
    <s v="Device_166"/>
    <x v="3"/>
    <x v="1"/>
    <d v="2023-01-24T00:00:00"/>
    <x v="3"/>
    <x v="3"/>
    <n v="20"/>
    <n v="2"/>
    <n v="9"/>
    <n v="4"/>
    <x v="0"/>
    <n v="14"/>
    <n v="2"/>
    <x v="0"/>
  </r>
  <r>
    <s v="Device_167"/>
    <x v="0"/>
    <x v="0"/>
    <d v="2023-04-09T00:00:00"/>
    <x v="5"/>
    <x v="11"/>
    <n v="46"/>
    <n v="1"/>
    <n v="15"/>
    <n v="6"/>
    <x v="1"/>
    <n v="16"/>
    <n v="4"/>
    <x v="0"/>
  </r>
  <r>
    <s v="Device_168"/>
    <x v="2"/>
    <x v="4"/>
    <d v="2023-11-22T00:00:00"/>
    <x v="0"/>
    <x v="0"/>
    <n v="13"/>
    <n v="2"/>
    <n v="10"/>
    <n v="8"/>
    <x v="2"/>
    <n v="19"/>
    <n v="1"/>
    <x v="0"/>
  </r>
  <r>
    <s v="Device_169"/>
    <x v="0"/>
    <x v="5"/>
    <d v="2023-10-23T00:00:00"/>
    <x v="6"/>
    <x v="13"/>
    <n v="23"/>
    <n v="2"/>
    <n v="7"/>
    <n v="5"/>
    <x v="3"/>
    <n v="11"/>
    <n v="3"/>
    <x v="0"/>
  </r>
  <r>
    <s v="Device_170"/>
    <x v="1"/>
    <x v="3"/>
    <d v="2023-02-25T00:00:00"/>
    <x v="3"/>
    <x v="14"/>
    <n v="50"/>
    <n v="3"/>
    <n v="9"/>
    <n v="3"/>
    <x v="0"/>
    <n v="15"/>
    <n v="2"/>
    <x v="0"/>
  </r>
  <r>
    <s v="Device_171"/>
    <x v="0"/>
    <x v="2"/>
    <d v="2024-07-08T00:00:00"/>
    <x v="1"/>
    <x v="10"/>
    <n v="15"/>
    <n v="2"/>
    <n v="12"/>
    <n v="7"/>
    <x v="1"/>
    <n v="17"/>
    <n v="5"/>
    <x v="1"/>
  </r>
  <r>
    <s v="Device_172"/>
    <x v="3"/>
    <x v="1"/>
    <d v="2023-05-10T00:00:00"/>
    <x v="5"/>
    <x v="15"/>
    <n v="20"/>
    <n v="2"/>
    <n v="11"/>
    <n v="6"/>
    <x v="3"/>
    <n v="12"/>
    <n v="1"/>
    <x v="0"/>
  </r>
  <r>
    <s v="Device_173"/>
    <x v="0"/>
    <x v="0"/>
    <d v="2023-09-09T00:00:00"/>
    <x v="0"/>
    <x v="3"/>
    <n v="23"/>
    <n v="2"/>
    <n v="8"/>
    <n v="7"/>
    <x v="2"/>
    <n v="13"/>
    <n v="4"/>
    <x v="0"/>
  </r>
  <r>
    <s v="Device_174"/>
    <x v="1"/>
    <x v="4"/>
    <d v="2024-03-12T00:00:00"/>
    <x v="1"/>
    <x v="2"/>
    <n v="18"/>
    <n v="2"/>
    <n v="10"/>
    <n v="5"/>
    <x v="0"/>
    <n v="18"/>
    <n v="3"/>
    <x v="1"/>
  </r>
  <r>
    <s v="Device_175"/>
    <x v="0"/>
    <x v="2"/>
    <d v="2023-12-03T00:00:00"/>
    <x v="6"/>
    <x v="6"/>
    <n v="44"/>
    <n v="2"/>
    <n v="13"/>
    <n v="5"/>
    <x v="3"/>
    <n v="20"/>
    <n v="2"/>
    <x v="0"/>
  </r>
  <r>
    <s v="Device_176"/>
    <x v="2"/>
    <x v="3"/>
    <d v="2024-03-19T00:00:00"/>
    <x v="3"/>
    <x v="1"/>
    <n v="0"/>
    <n v="2"/>
    <n v="8"/>
    <n v="6"/>
    <x v="1"/>
    <n v="12"/>
    <n v="2"/>
    <x v="1"/>
  </r>
  <r>
    <s v="Device_177"/>
    <x v="0"/>
    <x v="2"/>
    <d v="2023-07-11T00:00:00"/>
    <x v="5"/>
    <x v="2"/>
    <n v="38"/>
    <n v="5"/>
    <n v="10"/>
    <n v="4"/>
    <x v="2"/>
    <n v="18"/>
    <n v="3"/>
    <x v="0"/>
  </r>
  <r>
    <s v="Device_178"/>
    <x v="3"/>
    <x v="4"/>
    <d v="2024-11-21T00:00:00"/>
    <x v="3"/>
    <x v="3"/>
    <n v="20"/>
    <n v="2"/>
    <n v="13"/>
    <n v="5"/>
    <x v="3"/>
    <n v="17"/>
    <n v="1"/>
    <x v="1"/>
  </r>
  <r>
    <s v="Device_179"/>
    <x v="1"/>
    <x v="5"/>
    <d v="2023-12-22T00:00:00"/>
    <x v="5"/>
    <x v="10"/>
    <n v="18"/>
    <n v="1"/>
    <n v="12"/>
    <n v="6"/>
    <x v="0"/>
    <n v="15"/>
    <n v="4"/>
    <x v="0"/>
  </r>
  <r>
    <s v="Device_180"/>
    <x v="2"/>
    <x v="0"/>
    <d v="2023-01-16T00:00:00"/>
    <x v="0"/>
    <x v="11"/>
    <n v="23"/>
    <n v="2"/>
    <n v="15"/>
    <n v="4"/>
    <x v="0"/>
    <n v="14"/>
    <n v="2"/>
    <x v="0"/>
  </r>
  <r>
    <s v="Device_181"/>
    <x v="0"/>
    <x v="1"/>
    <d v="2024-07-14T00:00:00"/>
    <x v="6"/>
    <x v="0"/>
    <n v="14"/>
    <n v="2"/>
    <n v="11"/>
    <n v="8"/>
    <x v="1"/>
    <n v="19"/>
    <n v="3"/>
    <x v="1"/>
  </r>
  <r>
    <s v="Device_182"/>
    <x v="0"/>
    <x v="3"/>
    <d v="2023-11-23T00:00:00"/>
    <x v="1"/>
    <x v="4"/>
    <n v="7.5"/>
    <n v="2"/>
    <n v="14"/>
    <n v="7"/>
    <x v="3"/>
    <n v="16"/>
    <n v="5"/>
    <x v="0"/>
  </r>
  <r>
    <s v="Device_183"/>
    <x v="3"/>
    <x v="4"/>
    <d v="2023-06-17T00:00:00"/>
    <x v="5"/>
    <x v="6"/>
    <n v="10"/>
    <n v="3"/>
    <n v="8"/>
    <n v="5"/>
    <x v="2"/>
    <n v="13"/>
    <n v="2"/>
    <x v="0"/>
  </r>
  <r>
    <s v="Device_184"/>
    <x v="1"/>
    <x v="2"/>
    <d v="2024-10-22T00:00:00"/>
    <x v="0"/>
    <x v="10"/>
    <n v="18"/>
    <n v="2"/>
    <n v="12"/>
    <n v="9"/>
    <x v="0"/>
    <n v="20"/>
    <n v="1"/>
    <x v="1"/>
  </r>
  <r>
    <s v="Device_185"/>
    <x v="0"/>
    <x v="5"/>
    <d v="2023-05-25T00:00:00"/>
    <x v="2"/>
    <x v="3"/>
    <n v="46"/>
    <n v="2"/>
    <n v="11"/>
    <n v="6"/>
    <x v="3"/>
    <n v="17"/>
    <n v="4"/>
    <x v="0"/>
  </r>
  <r>
    <s v="Device_186"/>
    <x v="2"/>
    <x v="3"/>
    <d v="2023-03-19T00:00:00"/>
    <x v="3"/>
    <x v="8"/>
    <n v="25"/>
    <n v="3"/>
    <n v="8"/>
    <n v="6"/>
    <x v="1"/>
    <n v="12"/>
    <n v="2"/>
    <x v="0"/>
  </r>
  <r>
    <s v="Device_187"/>
    <x v="0"/>
    <x v="2"/>
    <d v="2023-07-11T00:00:00"/>
    <x v="1"/>
    <x v="2"/>
    <n v="38"/>
    <n v="2"/>
    <n v="10"/>
    <n v="4"/>
    <x v="2"/>
    <n v="18"/>
    <n v="3"/>
    <x v="0"/>
  </r>
  <r>
    <s v="Device_188"/>
    <x v="3"/>
    <x v="4"/>
    <d v="2024-09-15T00:00:00"/>
    <x v="4"/>
    <x v="3"/>
    <n v="20"/>
    <n v="2"/>
    <n v="13"/>
    <n v="5"/>
    <x v="3"/>
    <n v="17"/>
    <n v="1"/>
    <x v="1"/>
  </r>
  <r>
    <s v="Device_189"/>
    <x v="1"/>
    <x v="5"/>
    <d v="2024-12-22T00:00:00"/>
    <x v="0"/>
    <x v="10"/>
    <n v="36"/>
    <n v="2"/>
    <n v="12"/>
    <n v="6"/>
    <x v="0"/>
    <n v="15"/>
    <n v="4"/>
    <x v="1"/>
  </r>
  <r>
    <s v="Device_190"/>
    <x v="2"/>
    <x v="0"/>
    <d v="2024-01-18T00:00:00"/>
    <x v="1"/>
    <x v="11"/>
    <n v="23"/>
    <n v="2"/>
    <n v="15"/>
    <n v="4"/>
    <x v="0"/>
    <n v="14"/>
    <n v="2"/>
    <x v="1"/>
  </r>
  <r>
    <s v="Device_191"/>
    <x v="0"/>
    <x v="1"/>
    <d v="2023-07-14T00:00:00"/>
    <x v="2"/>
    <x v="0"/>
    <n v="14"/>
    <n v="2"/>
    <n v="11"/>
    <n v="8"/>
    <x v="1"/>
    <n v="19"/>
    <n v="3"/>
    <x v="0"/>
  </r>
  <r>
    <s v="Device_192"/>
    <x v="0"/>
    <x v="3"/>
    <d v="2023-12-23T00:00:00"/>
    <x v="3"/>
    <x v="9"/>
    <n v="22.5"/>
    <n v="2"/>
    <n v="14"/>
    <n v="7"/>
    <x v="3"/>
    <n v="16"/>
    <n v="5"/>
    <x v="0"/>
  </r>
  <r>
    <s v="Device_193"/>
    <x v="3"/>
    <x v="4"/>
    <d v="2024-06-17T00:00:00"/>
    <x v="4"/>
    <x v="6"/>
    <n v="20"/>
    <n v="2"/>
    <n v="8"/>
    <n v="5"/>
    <x v="2"/>
    <n v="13"/>
    <n v="2"/>
    <x v="1"/>
  </r>
  <r>
    <s v="Device_194"/>
    <x v="1"/>
    <x v="2"/>
    <d v="2024-10-27T00:00:00"/>
    <x v="2"/>
    <x v="10"/>
    <n v="49"/>
    <n v="2"/>
    <n v="12"/>
    <n v="9"/>
    <x v="0"/>
    <n v="20"/>
    <n v="1"/>
    <x v="1"/>
  </r>
  <r>
    <s v="Device_195"/>
    <x v="0"/>
    <x v="5"/>
    <d v="2023-05-05T00:00:00"/>
    <x v="0"/>
    <x v="3"/>
    <n v="46"/>
    <n v="2"/>
    <n v="11"/>
    <n v="6"/>
    <x v="3"/>
    <n v="17"/>
    <n v="4"/>
    <x v="0"/>
  </r>
  <r>
    <s v="Device_196"/>
    <x v="2"/>
    <x v="3"/>
    <d v="2024-03-09T00:00:00"/>
    <x v="3"/>
    <x v="14"/>
    <n v="50"/>
    <n v="2"/>
    <n v="8"/>
    <n v="6"/>
    <x v="1"/>
    <n v="12"/>
    <n v="2"/>
    <x v="1"/>
  </r>
  <r>
    <s v="Device_197"/>
    <x v="0"/>
    <x v="2"/>
    <d v="2024-07-11T00:00:00"/>
    <x v="1"/>
    <x v="2"/>
    <n v="38"/>
    <n v="2"/>
    <n v="10"/>
    <n v="4"/>
    <x v="2"/>
    <n v="18"/>
    <n v="3"/>
    <x v="1"/>
  </r>
  <r>
    <s v="Device_198"/>
    <x v="3"/>
    <x v="4"/>
    <d v="2023-09-12T00:00:00"/>
    <x v="5"/>
    <x v="3"/>
    <n v="20"/>
    <n v="6"/>
    <n v="13"/>
    <n v="5"/>
    <x v="3"/>
    <n v="17"/>
    <n v="1"/>
    <x v="0"/>
  </r>
  <r>
    <s v="Device_199"/>
    <x v="1"/>
    <x v="5"/>
    <d v="2024-12-21T00:00:00"/>
    <x v="0"/>
    <x v="10"/>
    <n v="36"/>
    <n v="2"/>
    <n v="12"/>
    <n v="6"/>
    <x v="0"/>
    <n v="15"/>
    <n v="4"/>
    <x v="1"/>
  </r>
  <r>
    <s v="Device_200"/>
    <x v="2"/>
    <x v="0"/>
    <d v="2024-01-16T00:00:00"/>
    <x v="3"/>
    <x v="11"/>
    <n v="23"/>
    <n v="2"/>
    <n v="15"/>
    <n v="4"/>
    <x v="0"/>
    <n v="14"/>
    <n v="2"/>
    <x v="1"/>
  </r>
  <r>
    <s v="Device_201"/>
    <x v="0"/>
    <x v="1"/>
    <d v="2023-07-04T00:00:00"/>
    <x v="1"/>
    <x v="0"/>
    <n v="44"/>
    <n v="2"/>
    <n v="11"/>
    <n v="8"/>
    <x v="1"/>
    <n v="19"/>
    <n v="3"/>
    <x v="0"/>
  </r>
  <r>
    <s v="Device_202"/>
    <x v="0"/>
    <x v="3"/>
    <d v="2023-11-24T00:00:00"/>
    <x v="2"/>
    <x v="8"/>
    <n v="5"/>
    <n v="2"/>
    <n v="14"/>
    <n v="7"/>
    <x v="3"/>
    <n v="16"/>
    <n v="5"/>
    <x v="0"/>
  </r>
  <r>
    <s v="Device_203"/>
    <x v="3"/>
    <x v="4"/>
    <d v="2023-06-07T00:00:00"/>
    <x v="5"/>
    <x v="6"/>
    <n v="11"/>
    <n v="5"/>
    <n v="8"/>
    <n v="5"/>
    <x v="2"/>
    <n v="13"/>
    <n v="2"/>
    <x v="0"/>
  </r>
  <r>
    <s v="Device_204"/>
    <x v="1"/>
    <x v="2"/>
    <d v="2023-10-28T00:00:00"/>
    <x v="0"/>
    <x v="10"/>
    <n v="49"/>
    <n v="10"/>
    <n v="12"/>
    <n v="9"/>
    <x v="0"/>
    <n v="20"/>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78BC90-B3D4-405F-98CD-CAAFA8C210DF}" name="PivotTable10"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T3:W8" firstHeaderRow="0" firstDataRow="1" firstDataCol="1"/>
  <pivotFields count="14">
    <pivotField showAll="0"/>
    <pivotField axis="axisRow" showAll="0" sortType="descending">
      <items count="5">
        <item x="0"/>
        <item x="3"/>
        <item x="2"/>
        <item x="1"/>
        <item t="default"/>
      </items>
    </pivotField>
    <pivotField showAll="0">
      <items count="7">
        <item x="0"/>
        <item x="5"/>
        <item x="4"/>
        <item x="2"/>
        <item x="1"/>
        <item x="3"/>
        <item t="default"/>
      </items>
    </pivotField>
    <pivotField numFmtId="14" showAll="0"/>
    <pivotField showAll="0">
      <items count="8">
        <item x="5"/>
        <item x="4"/>
        <item x="0"/>
        <item x="2"/>
        <item x="6"/>
        <item x="3"/>
        <item x="1"/>
        <item t="default"/>
      </items>
    </pivotField>
    <pivotField showAll="0">
      <items count="17">
        <item x="7"/>
        <item x="13"/>
        <item x="11"/>
        <item x="12"/>
        <item x="15"/>
        <item x="2"/>
        <item x="0"/>
        <item x="6"/>
        <item x="3"/>
        <item x="10"/>
        <item x="5"/>
        <item x="1"/>
        <item x="14"/>
        <item x="4"/>
        <item x="8"/>
        <item x="9"/>
        <item t="default"/>
      </items>
    </pivotField>
    <pivotField showAll="0"/>
    <pivotField dataField="1" showAll="0"/>
    <pivotField dataField="1" showAll="0"/>
    <pivotField dataField="1" showAll="0"/>
    <pivotField showAll="0">
      <items count="5">
        <item x="3"/>
        <item x="2"/>
        <item x="0"/>
        <item x="1"/>
        <item t="default"/>
      </items>
    </pivotField>
    <pivotField showAll="0"/>
    <pivotField showAll="0"/>
    <pivotField showAll="0">
      <items count="3">
        <item x="0"/>
        <item x="1"/>
        <item t="default"/>
      </items>
    </pivotField>
  </pivotFields>
  <rowFields count="1">
    <field x="1"/>
  </rowFields>
  <rowItems count="5">
    <i>
      <x/>
    </i>
    <i>
      <x v="1"/>
    </i>
    <i>
      <x v="2"/>
    </i>
    <i>
      <x v="3"/>
    </i>
    <i t="grand">
      <x/>
    </i>
  </rowItems>
  <colFields count="1">
    <field x="-2"/>
  </colFields>
  <colItems count="3">
    <i>
      <x/>
    </i>
    <i i="1">
      <x v="1"/>
    </i>
    <i i="2">
      <x v="2"/>
    </i>
  </colItems>
  <dataFields count="3">
    <dataField name=" Active Violations" fld="7" baseField="1" baseItem="0"/>
    <dataField name="  Solved Violations" fld="8" baseField="1" baseItem="0"/>
    <dataField name="  Ignored Violations" fld="9" baseField="0" baseItem="0"/>
  </dataFields>
  <formats count="10">
    <format dxfId="77">
      <pivotArea type="all" dataOnly="0" outline="0" fieldPosition="0"/>
    </format>
    <format dxfId="78">
      <pivotArea outline="0" collapsedLevelsAreSubtotals="1" fieldPosition="0"/>
    </format>
    <format dxfId="79">
      <pivotArea field="-2" type="button" dataOnly="0" labelOnly="1" outline="0" axis="axisCol" fieldPosition="0"/>
    </format>
    <format dxfId="80">
      <pivotArea dataOnly="0" labelOnly="1" grandCol="1" outline="0" axis="axisCol" fieldPosition="0"/>
    </format>
    <format dxfId="81">
      <pivotArea collapsedLevelsAreSubtotals="1" fieldPosition="0">
        <references count="1">
          <reference field="1" count="1">
            <x v="0"/>
          </reference>
        </references>
      </pivotArea>
    </format>
    <format dxfId="82">
      <pivotArea collapsedLevelsAreSubtotals="1" fieldPosition="0">
        <references count="1">
          <reference field="1" count="3">
            <x v="1"/>
            <x v="2"/>
            <x v="3"/>
          </reference>
        </references>
      </pivotArea>
    </format>
    <format dxfId="83">
      <pivotArea grandRow="1" outline="0" collapsedLevelsAreSubtotals="1" fieldPosition="0"/>
    </format>
    <format dxfId="76">
      <pivotArea outline="0" fieldPosition="0">
        <references count="1">
          <reference field="4294967294" count="1">
            <x v="1"/>
          </reference>
        </references>
      </pivotArea>
    </format>
    <format dxfId="75">
      <pivotArea outline="0" collapsedLevelsAreSubtotals="1" fieldPosition="0">
        <references count="1">
          <reference field="4294967294" count="1" selected="0">
            <x v="0"/>
          </reference>
        </references>
      </pivotArea>
    </format>
    <format dxfId="74">
      <pivotArea outline="0" collapsedLevelsAreSubtotals="1" fieldPosition="0">
        <references count="1">
          <reference field="4294967294" count="1" selected="0">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7A0EA3-10F9-4FF3-B1EA-2C084BCF9F3A}" name="PivotTable9"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Q3:R8" firstHeaderRow="1" firstDataRow="1" firstDataCol="1"/>
  <pivotFields count="14">
    <pivotField showAll="0"/>
    <pivotField axis="axisRow" showAll="0" sortType="descending">
      <items count="5">
        <item x="0"/>
        <item x="3"/>
        <item x="2"/>
        <item x="1"/>
        <item t="default"/>
      </items>
    </pivotField>
    <pivotField showAll="0">
      <items count="7">
        <item x="0"/>
        <item x="5"/>
        <item x="4"/>
        <item x="2"/>
        <item x="1"/>
        <item x="3"/>
        <item t="default"/>
      </items>
    </pivotField>
    <pivotField numFmtId="14" showAll="0"/>
    <pivotField showAll="0">
      <items count="8">
        <item x="5"/>
        <item x="4"/>
        <item x="0"/>
        <item x="2"/>
        <item x="6"/>
        <item x="3"/>
        <item x="1"/>
        <item t="default"/>
      </items>
    </pivotField>
    <pivotField showAll="0">
      <items count="17">
        <item x="7"/>
        <item x="13"/>
        <item x="11"/>
        <item x="12"/>
        <item x="15"/>
        <item x="2"/>
        <item x="0"/>
        <item x="6"/>
        <item x="3"/>
        <item x="10"/>
        <item x="5"/>
        <item x="1"/>
        <item x="14"/>
        <item x="4"/>
        <item x="8"/>
        <item x="9"/>
        <item t="default"/>
      </items>
    </pivotField>
    <pivotField showAll="0"/>
    <pivotField showAll="0"/>
    <pivotField dataField="1" showAll="0"/>
    <pivotField showAll="0"/>
    <pivotField showAll="0">
      <items count="5">
        <item x="3"/>
        <item x="2"/>
        <item x="0"/>
        <item x="1"/>
        <item t="default"/>
      </items>
    </pivotField>
    <pivotField showAll="0"/>
    <pivotField showAll="0"/>
    <pivotField showAll="0">
      <items count="3">
        <item x="0"/>
        <item x="1"/>
        <item t="default"/>
      </items>
    </pivotField>
  </pivotFields>
  <rowFields count="1">
    <field x="1"/>
  </rowFields>
  <rowItems count="5">
    <i>
      <x/>
    </i>
    <i>
      <x v="1"/>
    </i>
    <i>
      <x v="2"/>
    </i>
    <i>
      <x v="3"/>
    </i>
    <i t="grand">
      <x/>
    </i>
  </rowItems>
  <colItems count="1">
    <i/>
  </colItems>
  <dataFields count="1">
    <dataField name="Sum of Solved Violations" fld="8" showDataAs="percentOfTotal" baseField="1" baseItem="0" numFmtId="10"/>
  </dataFields>
  <formats count="8">
    <format dxfId="88">
      <pivotArea type="all" dataOnly="0" outline="0" fieldPosition="0"/>
    </format>
    <format dxfId="89">
      <pivotArea outline="0" collapsedLevelsAreSubtotals="1" fieldPosition="0"/>
    </format>
    <format dxfId="90">
      <pivotArea field="-2" type="button" dataOnly="0" labelOnly="1" outline="0" axis="axisValues" fieldPosition="0"/>
    </format>
    <format dxfId="91">
      <pivotArea dataOnly="0" labelOnly="1" grandCol="1" outline="0" axis="axisCol" fieldPosition="0"/>
    </format>
    <format dxfId="87">
      <pivotArea outline="0" fieldPosition="0">
        <references count="1">
          <reference field="4294967294" count="1">
            <x v="0"/>
          </reference>
        </references>
      </pivotArea>
    </format>
    <format dxfId="86">
      <pivotArea collapsedLevelsAreSubtotals="1" fieldPosition="0">
        <references count="1">
          <reference field="1" count="1">
            <x v="0"/>
          </reference>
        </references>
      </pivotArea>
    </format>
    <format dxfId="85">
      <pivotArea collapsedLevelsAreSubtotals="1" fieldPosition="0">
        <references count="1">
          <reference field="1" count="3">
            <x v="1"/>
            <x v="2"/>
            <x v="3"/>
          </reference>
        </references>
      </pivotArea>
    </format>
    <format dxfId="8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0AD40A-A327-4A38-BD83-511BD0FD3639}" name="PivotTable8"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N3:O8" firstHeaderRow="1" firstDataRow="1" firstDataCol="1"/>
  <pivotFields count="14">
    <pivotField showAll="0"/>
    <pivotField axis="axisRow" showAll="0">
      <items count="5">
        <item x="1"/>
        <item x="2"/>
        <item x="3"/>
        <item x="0"/>
        <item t="default"/>
      </items>
    </pivotField>
    <pivotField showAll="0">
      <items count="7">
        <item x="0"/>
        <item x="5"/>
        <item x="4"/>
        <item x="2"/>
        <item x="1"/>
        <item x="3"/>
        <item t="default"/>
      </items>
    </pivotField>
    <pivotField numFmtId="14" showAll="0"/>
    <pivotField showAll="0">
      <items count="8">
        <item x="5"/>
        <item x="4"/>
        <item x="0"/>
        <item x="2"/>
        <item x="6"/>
        <item x="3"/>
        <item x="1"/>
        <item t="default"/>
      </items>
    </pivotField>
    <pivotField showAll="0">
      <items count="17">
        <item x="7"/>
        <item x="13"/>
        <item x="11"/>
        <item x="12"/>
        <item x="15"/>
        <item x="2"/>
        <item x="0"/>
        <item x="6"/>
        <item x="3"/>
        <item x="10"/>
        <item x="5"/>
        <item x="1"/>
        <item x="14"/>
        <item x="4"/>
        <item x="8"/>
        <item x="9"/>
        <item t="default"/>
      </items>
    </pivotField>
    <pivotField dataField="1" showAll="0"/>
    <pivotField showAll="0"/>
    <pivotField showAll="0"/>
    <pivotField showAll="0"/>
    <pivotField showAll="0">
      <items count="5">
        <item x="3"/>
        <item x="2"/>
        <item x="0"/>
        <item x="1"/>
        <item t="default"/>
      </items>
    </pivotField>
    <pivotField showAll="0"/>
    <pivotField showAll="0"/>
    <pivotField showAll="0">
      <items count="3">
        <item x="0"/>
        <item x="1"/>
        <item t="default"/>
      </items>
    </pivotField>
  </pivotFields>
  <rowFields count="1">
    <field x="1"/>
  </rowFields>
  <rowItems count="5">
    <i>
      <x/>
    </i>
    <i>
      <x v="1"/>
    </i>
    <i>
      <x v="2"/>
    </i>
    <i>
      <x v="3"/>
    </i>
    <i t="grand">
      <x/>
    </i>
  </rowItems>
  <colItems count="1">
    <i/>
  </colItems>
  <dataFields count="1">
    <dataField name="Sum of Total Violations" fld="6" baseField="0" baseItem="0"/>
  </dataFields>
  <formats count="4">
    <format dxfId="92">
      <pivotArea type="all" dataOnly="0" outline="0" fieldPosition="0"/>
    </format>
    <format dxfId="93">
      <pivotArea outline="0" collapsedLevelsAreSubtotals="1" fieldPosition="0"/>
    </format>
    <format dxfId="94">
      <pivotArea field="-2" type="button" dataOnly="0" labelOnly="1" outline="0" axis="axisValues" fieldPosition="0"/>
    </format>
    <format dxfId="95">
      <pivotArea dataOnly="0" labelOnly="1" grandCol="1" outline="0" axis="axisCol" fieldPosition="0"/>
    </format>
  </formats>
  <chartFormats count="1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3"/>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1"/>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3"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1"/>
          </reference>
        </references>
      </pivotArea>
    </chartFormat>
    <chartFormat chart="5" format="9">
      <pivotArea type="data" outline="0" fieldPosition="0">
        <references count="2">
          <reference field="4294967294" count="1" selected="0">
            <x v="0"/>
          </reference>
          <reference field="1" count="1" selected="0">
            <x v="2"/>
          </reference>
        </references>
      </pivotArea>
    </chartFormat>
    <chartFormat chart="5"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DF2159-09C2-4AC4-9A2B-6C321FCD6D01}" name="PivotTable7"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J3:L8" firstHeaderRow="0" firstDataRow="1" firstDataCol="1"/>
  <pivotFields count="14">
    <pivotField showAll="0"/>
    <pivotField showAll="0"/>
    <pivotField showAll="0">
      <items count="7">
        <item x="0"/>
        <item x="5"/>
        <item x="4"/>
        <item x="2"/>
        <item x="1"/>
        <item x="3"/>
        <item t="default"/>
      </items>
    </pivotField>
    <pivotField numFmtId="14" showAll="0"/>
    <pivotField showAll="0">
      <items count="8">
        <item x="5"/>
        <item x="4"/>
        <item x="0"/>
        <item x="2"/>
        <item x="6"/>
        <item x="3"/>
        <item x="1"/>
        <item t="default"/>
      </items>
    </pivotField>
    <pivotField showAll="0">
      <items count="17">
        <item x="7"/>
        <item x="13"/>
        <item x="11"/>
        <item x="12"/>
        <item x="15"/>
        <item x="2"/>
        <item x="0"/>
        <item x="6"/>
        <item x="3"/>
        <item x="10"/>
        <item x="5"/>
        <item x="1"/>
        <item x="14"/>
        <item x="4"/>
        <item x="8"/>
        <item x="9"/>
        <item t="default"/>
      </items>
    </pivotField>
    <pivotField showAll="0"/>
    <pivotField dataField="1" showAll="0"/>
    <pivotField dataField="1" showAll="0"/>
    <pivotField showAll="0"/>
    <pivotField axis="axisRow" showAll="0">
      <items count="5">
        <item x="3"/>
        <item x="2"/>
        <item x="0"/>
        <item x="1"/>
        <item t="default"/>
      </items>
    </pivotField>
    <pivotField showAll="0"/>
    <pivotField showAll="0"/>
    <pivotField showAll="0">
      <items count="3">
        <item x="0"/>
        <item x="1"/>
        <item t="default"/>
      </items>
    </pivotField>
  </pivotFields>
  <rowFields count="1">
    <field x="10"/>
  </rowFields>
  <rowItems count="5">
    <i>
      <x/>
    </i>
    <i>
      <x v="1"/>
    </i>
    <i>
      <x v="2"/>
    </i>
    <i>
      <x v="3"/>
    </i>
    <i t="grand">
      <x/>
    </i>
  </rowItems>
  <colFields count="1">
    <field x="-2"/>
  </colFields>
  <colItems count="2">
    <i>
      <x/>
    </i>
    <i i="1">
      <x v="1"/>
    </i>
  </colItems>
  <dataFields count="2">
    <dataField name="Sum of Active Violations" fld="7" baseField="0" baseItem="0"/>
    <dataField name="Sum of Solved Violations" fld="8" baseField="0" baseItem="0"/>
  </dataFields>
  <formats count="4">
    <format dxfId="96">
      <pivotArea type="all" dataOnly="0" outline="0" fieldPosition="0"/>
    </format>
    <format dxfId="97">
      <pivotArea outline="0" collapsedLevelsAreSubtotals="1" fieldPosition="0"/>
    </format>
    <format dxfId="98">
      <pivotArea field="-2" type="button" dataOnly="0" labelOnly="1" outline="0" axis="axisCol" fieldPosition="0"/>
    </format>
    <format dxfId="99">
      <pivotArea dataOnly="0" labelOnly="1" grandCol="1" outline="0" axis="axisCol"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10" count="1" selected="0">
            <x v="0"/>
          </reference>
        </references>
      </pivotArea>
    </chartFormat>
    <chartFormat chart="2" format="7">
      <pivotArea type="data" outline="0" fieldPosition="0">
        <references count="2">
          <reference field="4294967294" count="1" selected="0">
            <x v="1"/>
          </reference>
          <reference field="10" count="1" selected="0">
            <x v="1"/>
          </reference>
        </references>
      </pivotArea>
    </chartFormat>
    <chartFormat chart="2" format="8">
      <pivotArea type="data" outline="0" fieldPosition="0">
        <references count="2">
          <reference field="4294967294" count="1" selected="0">
            <x v="1"/>
          </reference>
          <reference field="10" count="1" selected="0">
            <x v="2"/>
          </reference>
        </references>
      </pivotArea>
    </chartFormat>
    <chartFormat chart="2" format="9">
      <pivotArea type="data" outline="0" fieldPosition="0">
        <references count="2">
          <reference field="4294967294" count="1" selected="0">
            <x v="1"/>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C14F2C-E40F-46A5-8DA5-1AA9347FAED5}" name="PivotTable5" cacheId="19"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3:H11" firstHeaderRow="1" firstDataRow="1" firstDataCol="1"/>
  <pivotFields count="14">
    <pivotField showAll="0"/>
    <pivotField showAll="0"/>
    <pivotField showAll="0">
      <items count="7">
        <item x="0"/>
        <item x="5"/>
        <item x="4"/>
        <item x="2"/>
        <item x="1"/>
        <item x="3"/>
        <item t="default"/>
      </items>
    </pivotField>
    <pivotField numFmtId="14" showAll="0"/>
    <pivotField axis="axisRow" showAll="0" sortType="ascending">
      <items count="8">
        <item x="5"/>
        <item x="4"/>
        <item x="0"/>
        <item x="2"/>
        <item x="6"/>
        <item x="3"/>
        <item x="1"/>
        <item t="default"/>
      </items>
      <autoSortScope>
        <pivotArea dataOnly="0" outline="0" fieldPosition="0">
          <references count="1">
            <reference field="4294967294" count="1" selected="0">
              <x v="0"/>
            </reference>
          </references>
        </pivotArea>
      </autoSortScope>
    </pivotField>
    <pivotField showAll="0">
      <items count="17">
        <item x="7"/>
        <item x="13"/>
        <item x="11"/>
        <item x="12"/>
        <item x="15"/>
        <item x="2"/>
        <item x="0"/>
        <item x="6"/>
        <item x="3"/>
        <item x="10"/>
        <item x="5"/>
        <item x="1"/>
        <item x="14"/>
        <item x="4"/>
        <item x="8"/>
        <item x="9"/>
        <item t="default"/>
      </items>
    </pivotField>
    <pivotField showAll="0"/>
    <pivotField dataField="1" showAll="0"/>
    <pivotField showAll="0"/>
    <pivotField showAll="0"/>
    <pivotField showAll="0"/>
    <pivotField showAll="0"/>
    <pivotField showAll="0"/>
    <pivotField showAll="0">
      <items count="3">
        <item x="0"/>
        <item x="1"/>
        <item t="default"/>
      </items>
    </pivotField>
  </pivotFields>
  <rowFields count="1">
    <field x="4"/>
  </rowFields>
  <rowItems count="8">
    <i>
      <x v="6"/>
    </i>
    <i>
      <x v="4"/>
    </i>
    <i>
      <x v="3"/>
    </i>
    <i>
      <x v="1"/>
    </i>
    <i>
      <x v="5"/>
    </i>
    <i>
      <x/>
    </i>
    <i>
      <x v="2"/>
    </i>
    <i t="grand">
      <x/>
    </i>
  </rowItems>
  <colItems count="1">
    <i/>
  </colItems>
  <dataFields count="1">
    <dataField name=" Active Violations" fld="7" baseField="0" baseItem="0"/>
  </dataFields>
  <formats count="4">
    <format dxfId="100">
      <pivotArea type="all" dataOnly="0" outline="0" fieldPosition="0"/>
    </format>
    <format dxfId="101">
      <pivotArea outline="0" collapsedLevelsAreSubtotals="1" fieldPosition="0"/>
    </format>
    <format dxfId="102">
      <pivotArea field="-2" type="button" dataOnly="0" labelOnly="1" outline="0" axis="axisValues" fieldPosition="0"/>
    </format>
    <format dxfId="103">
      <pivotArea dataOnly="0" labelOnly="1" grandCol="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F15D9D-3C7B-4F17-AA7E-2A3A5738C504}" name="PivotTable4" cacheId="19" dataOnRows="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D3:E10" firstHeaderRow="1" firstDataRow="1" firstDataCol="1"/>
  <pivotFields count="14">
    <pivotField showAll="0"/>
    <pivotField showAll="0"/>
    <pivotField axis="axisRow" showAll="0" sortType="ascending">
      <items count="7">
        <item x="0"/>
        <item x="5"/>
        <item x="4"/>
        <item x="2"/>
        <item x="1"/>
        <item x="3"/>
        <item t="default"/>
      </items>
      <autoSortScope>
        <pivotArea dataOnly="0" outline="0" fieldPosition="0">
          <references count="1">
            <reference field="4294967294" count="1" selected="0">
              <x v="0"/>
            </reference>
          </references>
        </pivotArea>
      </autoSortScope>
    </pivotField>
    <pivotField numFmtId="14" showAll="0"/>
    <pivotField showAll="0"/>
    <pivotField showAll="0">
      <items count="17">
        <item x="7"/>
        <item x="13"/>
        <item x="11"/>
        <item x="12"/>
        <item x="15"/>
        <item x="2"/>
        <item x="0"/>
        <item x="6"/>
        <item x="3"/>
        <item x="10"/>
        <item x="5"/>
        <item x="1"/>
        <item x="14"/>
        <item x="4"/>
        <item x="8"/>
        <item x="9"/>
        <item t="default"/>
      </items>
    </pivotField>
    <pivotField dataField="1" showAll="0"/>
    <pivotField showAll="0"/>
    <pivotField showAll="0"/>
    <pivotField showAll="0"/>
    <pivotField showAll="0"/>
    <pivotField showAll="0"/>
    <pivotField showAll="0"/>
    <pivotField showAll="0">
      <items count="3">
        <item x="0"/>
        <item x="1"/>
        <item t="default"/>
      </items>
    </pivotField>
  </pivotFields>
  <rowFields count="1">
    <field x="2"/>
  </rowFields>
  <rowItems count="7">
    <i>
      <x v="2"/>
    </i>
    <i>
      <x/>
    </i>
    <i>
      <x v="4"/>
    </i>
    <i>
      <x v="5"/>
    </i>
    <i>
      <x v="1"/>
    </i>
    <i>
      <x v="3"/>
    </i>
    <i t="grand">
      <x/>
    </i>
  </rowItems>
  <colItems count="1">
    <i/>
  </colItems>
  <dataFields count="1">
    <dataField name=" Total Violations" fld="6" baseField="0" baseItem="0"/>
  </dataFields>
  <formats count="4">
    <format dxfId="104">
      <pivotArea type="all" dataOnly="0" outline="0" fieldPosition="0"/>
    </format>
    <format dxfId="105">
      <pivotArea outline="0" collapsedLevelsAreSubtotals="1" fieldPosition="0"/>
    </format>
    <format dxfId="106">
      <pivotArea field="-2" type="button" dataOnly="0" labelOnly="1" outline="0" axis="axisValues" fieldPosition="0"/>
    </format>
    <format dxfId="107">
      <pivotArea dataOnly="0" labelOnly="1" grandCol="1" outline="0" axis="axisCol" fieldPosition="0"/>
    </format>
  </format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0"/>
          </reference>
        </references>
      </pivotArea>
    </chartFormat>
    <chartFormat chart="2" format="5">
      <pivotArea type="data" outline="0" fieldPosition="0">
        <references count="2">
          <reference field="4294967294" count="1" selected="0">
            <x v="0"/>
          </reference>
          <reference field="2" count="1" selected="0">
            <x v="4"/>
          </reference>
        </references>
      </pivotArea>
    </chartFormat>
    <chartFormat chart="2" format="6">
      <pivotArea type="data" outline="0" fieldPosition="0">
        <references count="2">
          <reference field="4294967294" count="1" selected="0">
            <x v="0"/>
          </reference>
          <reference field="2" count="1" selected="0">
            <x v="5"/>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B5342D9-9388-4DCC-BF2A-2C56B677620C}" name="PivotTable1" cacheId="19" dataOnRows="1" applyNumberFormats="0" applyBorderFormats="0" applyFontFormats="0" applyPatternFormats="0" applyAlignmentFormats="0" applyWidthHeightFormats="1" dataCaption="Values" updatedVersion="7" minRefreshableVersion="3" itemPrintTitles="1" createdVersion="7" indent="0" outline="1" outlineData="1" multipleFieldFilters="0">
  <location ref="A3:B10" firstHeaderRow="1" firstDataRow="1" firstDataCol="1"/>
  <pivotFields count="14">
    <pivotField showAll="0"/>
    <pivotField showAll="0"/>
    <pivotField showAll="0"/>
    <pivotField numFmtId="14" showAll="0"/>
    <pivotField showAll="0"/>
    <pivotField dataField="1" showAll="0">
      <items count="17">
        <item x="7"/>
        <item x="13"/>
        <item x="11"/>
        <item x="12"/>
        <item x="15"/>
        <item x="2"/>
        <item x="0"/>
        <item x="6"/>
        <item x="3"/>
        <item x="10"/>
        <item x="5"/>
        <item x="1"/>
        <item x="14"/>
        <item x="4"/>
        <item x="8"/>
        <item x="9"/>
        <item t="default"/>
      </items>
    </pivotField>
    <pivotField dataField="1" showAll="0"/>
    <pivotField dataField="1" showAll="0"/>
    <pivotField dataField="1" showAll="0"/>
    <pivotField dataField="1" showAll="0"/>
    <pivotField showAll="0"/>
    <pivotField dataField="1" showAll="0"/>
    <pivotField dataField="1" showAll="0"/>
    <pivotField showAll="0">
      <items count="3">
        <item x="0"/>
        <item x="1"/>
        <item t="default"/>
      </items>
    </pivotField>
  </pivotFields>
  <rowFields count="1">
    <field x="-2"/>
  </rowFields>
  <rowItems count="7">
    <i>
      <x/>
    </i>
    <i i="1">
      <x v="1"/>
    </i>
    <i i="2">
      <x v="2"/>
    </i>
    <i i="3">
      <x v="3"/>
    </i>
    <i i="4">
      <x v="4"/>
    </i>
    <i i="5">
      <x v="5"/>
    </i>
    <i i="6">
      <x v="6"/>
    </i>
  </rowItems>
  <colItems count="1">
    <i/>
  </colItems>
  <dataFields count="7">
    <dataField name="Sum of Total Violations" fld="6" baseField="0" baseItem="0"/>
    <dataField name="Sum of Active Violations" fld="7" baseField="0" baseItem="0"/>
    <dataField name="Sum of Solved Violations" fld="8" baseField="0" baseItem="0"/>
    <dataField name="Sum of Ignored Violations" fld="9" baseField="0" baseItem="0"/>
    <dataField name="Sum of Environment Managed" fld="11" baseField="0" baseItem="0"/>
    <dataField name="Sum of Total Rules" fld="5" baseField="0" baseItem="9"/>
    <dataField name="Sum of Environment Disabled" fld="12" baseField="0" baseItem="0"/>
  </dataFields>
  <formats count="5">
    <format dxfId="112">
      <pivotArea type="all" dataOnly="0" outline="0" fieldPosition="0"/>
    </format>
    <format dxfId="111">
      <pivotArea outline="0" collapsedLevelsAreSubtotals="1" fieldPosition="0"/>
    </format>
    <format dxfId="110">
      <pivotArea field="-2" type="button" dataOnly="0" labelOnly="1" outline="0" axis="axisRow" fieldPosition="0"/>
    </format>
    <format dxfId="109">
      <pivotArea dataOnly="0" labelOnly="1" outline="0" fieldPosition="0">
        <references count="1">
          <reference field="4294967294" count="7">
            <x v="0"/>
            <x v="1"/>
            <x v="2"/>
            <x v="3"/>
            <x v="4"/>
            <x v="5"/>
            <x v="6"/>
          </reference>
        </references>
      </pivotArea>
    </format>
    <format dxfId="108">
      <pivotArea dataOnly="0" labelOnly="1" grandCol="1" outline="0" axis="axisCol"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D2ADFBD-0E3D-46FD-AC35-65A02C3A7BEF}" sourceName="Year">
  <pivotTables>
    <pivotTable tabId="2" name="PivotTable1"/>
    <pivotTable tabId="2" name="PivotTable10"/>
    <pivotTable tabId="2" name="PivotTable4"/>
    <pivotTable tabId="2" name="PivotTable5"/>
    <pivotTable tabId="2" name="PivotTable7"/>
    <pivotTable tabId="2" name="PivotTable8"/>
    <pivotTable tabId="2" name="PivotTable9"/>
  </pivotTables>
  <data>
    <tabular pivotCacheId="2078639192">
      <items count="2">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8866DCE7-B3B4-4FC7-9E6A-11C1784775AB}"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 xr10:uid="{050D1EDA-7025-4941-B99C-643B00CE36CA}"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4524E5-4BA9-49E1-ACC0-AAED50EAD182}" name="Table1" displayName="Table1" ref="A1:N100" totalsRowShown="0">
  <autoFilter ref="A1:N100" xr:uid="{CA4524E5-4BA9-49E1-ACC0-AAED50EAD182}"/>
  <tableColumns count="14">
    <tableColumn id="1" xr3:uid="{8626E6A8-8942-4FED-B20C-A1C80BA89EDD}" name="Device Name"/>
    <tableColumn id="2" xr3:uid="{5D9A1BDA-881A-4D91-9A34-D1E329D4CFE2}" name="Compliance "/>
    <tableColumn id="3" xr3:uid="{F9C267A2-0C8E-4C16-9C45-D62D832C6083}" name="Violation Type"/>
    <tableColumn id="4" xr3:uid="{B5160D08-966F-4381-BA79-A1E6D86C0EC1}" name="Violation Date" dataDxfId="114"/>
    <tableColumn id="5" xr3:uid="{E9609444-2453-44D9-A71C-E72AA920A8F0}" name="City"/>
    <tableColumn id="6" xr3:uid="{7422EF0C-C922-4D61-9C1E-2560E50E3B2D}" name="Total Rules"/>
    <tableColumn id="7" xr3:uid="{13590386-F075-4169-86B1-1B0E94F3FE21}" name="Total Violations"/>
    <tableColumn id="8" xr3:uid="{AF4F2B11-D6DD-402C-8F62-A8E75CAB9833}" name="Active Violations"/>
    <tableColumn id="9" xr3:uid="{E366C164-9A71-47E7-98B5-2A0124D132BD}" name="Solved Violations"/>
    <tableColumn id="10" xr3:uid="{2ECAD237-6E2A-4370-8F72-1E47AC269FBD}" name="Ignored Violations"/>
    <tableColumn id="11" xr3:uid="{E900ED4C-D39D-4035-8E3E-91119AEDABAC}" name="Solving Time"/>
    <tableColumn id="12" xr3:uid="{6AB770B8-8001-49E9-805A-DA9AEA7619FC}" name="Environment Managed"/>
    <tableColumn id="13" xr3:uid="{E8DD4F13-8276-46F6-B0AC-A303F672B80D}" name="Environment Disabled"/>
    <tableColumn id="14" xr3:uid="{CD7F3A2E-8DEA-4FFA-9DB7-C5DC2F4BC641}" name="Year" dataDxfId="113">
      <calculatedColumnFormula>YEAR(Table1[[#This Row],[Violation Date]])</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4608-029D-45DF-8327-B2D32150E1D0}">
  <dimension ref="A2:W26"/>
  <sheetViews>
    <sheetView showGridLines="0" workbookViewId="0">
      <selection activeCell="B9" sqref="B9"/>
    </sheetView>
  </sheetViews>
  <sheetFormatPr defaultRowHeight="14.25" x14ac:dyDescent="0.2"/>
  <cols>
    <col min="1" max="1" width="23.75" customWidth="1"/>
    <col min="2" max="2" width="9.625" customWidth="1"/>
    <col min="3" max="3" width="5.125" customWidth="1"/>
    <col min="4" max="4" width="15.625" bestFit="1" customWidth="1"/>
    <col min="5" max="5" width="13.5" bestFit="1" customWidth="1"/>
    <col min="6" max="6" width="14" customWidth="1"/>
    <col min="7" max="7" width="11.5" bestFit="1" customWidth="1"/>
    <col min="8" max="8" width="14.5" bestFit="1" customWidth="1"/>
    <col min="9" max="9" width="4.875" customWidth="1"/>
    <col min="10" max="10" width="11.5" bestFit="1" customWidth="1"/>
    <col min="11" max="11" width="20" bestFit="1" customWidth="1"/>
    <col min="12" max="12" width="20.375" bestFit="1" customWidth="1"/>
    <col min="14" max="14" width="15" bestFit="1" customWidth="1"/>
    <col min="15" max="15" width="19" bestFit="1" customWidth="1"/>
    <col min="17" max="17" width="15" bestFit="1" customWidth="1"/>
    <col min="18" max="18" width="20.375" bestFit="1" customWidth="1"/>
    <col min="20" max="20" width="15" bestFit="1" customWidth="1"/>
    <col min="21" max="21" width="14.5" bestFit="1" customWidth="1"/>
    <col min="22" max="22" width="15.25" bestFit="1" customWidth="1"/>
    <col min="23" max="23" width="16" bestFit="1" customWidth="1"/>
  </cols>
  <sheetData>
    <row r="2" spans="1:23" ht="15" x14ac:dyDescent="0.25">
      <c r="A2" s="2" t="s">
        <v>149</v>
      </c>
      <c r="D2" s="2" t="s">
        <v>156</v>
      </c>
      <c r="G2" s="2" t="s">
        <v>159</v>
      </c>
      <c r="J2" s="2" t="s">
        <v>160</v>
      </c>
      <c r="N2" s="2" t="s">
        <v>161</v>
      </c>
      <c r="Q2" s="2" t="s">
        <v>162</v>
      </c>
      <c r="T2" s="2" t="s">
        <v>162</v>
      </c>
    </row>
    <row r="3" spans="1:23" ht="15" x14ac:dyDescent="0.25">
      <c r="A3" s="6" t="s">
        <v>147</v>
      </c>
      <c r="B3" s="7"/>
      <c r="D3" s="6" t="s">
        <v>140</v>
      </c>
      <c r="E3" s="7" t="s">
        <v>151</v>
      </c>
      <c r="G3" s="6" t="s">
        <v>140</v>
      </c>
      <c r="H3" s="7" t="s">
        <v>157</v>
      </c>
      <c r="J3" s="6" t="s">
        <v>140</v>
      </c>
      <c r="K3" s="7" t="s">
        <v>142</v>
      </c>
      <c r="L3" s="7" t="s">
        <v>143</v>
      </c>
      <c r="N3" s="6" t="s">
        <v>140</v>
      </c>
      <c r="O3" s="7" t="s">
        <v>139</v>
      </c>
      <c r="Q3" s="6" t="s">
        <v>140</v>
      </c>
      <c r="R3" s="7" t="s">
        <v>143</v>
      </c>
      <c r="T3" s="6" t="s">
        <v>140</v>
      </c>
      <c r="U3" s="7" t="s">
        <v>157</v>
      </c>
      <c r="V3" s="7" t="s">
        <v>163</v>
      </c>
      <c r="W3" s="7" t="s">
        <v>164</v>
      </c>
    </row>
    <row r="4" spans="1:23" ht="15" x14ac:dyDescent="0.25">
      <c r="A4" s="8" t="s">
        <v>139</v>
      </c>
      <c r="B4" s="9">
        <v>2307</v>
      </c>
      <c r="D4" s="8" t="s">
        <v>36</v>
      </c>
      <c r="E4" s="9">
        <v>287</v>
      </c>
      <c r="G4" s="8" t="s">
        <v>21</v>
      </c>
      <c r="H4" s="9">
        <v>37</v>
      </c>
      <c r="J4" s="8" t="s">
        <v>48</v>
      </c>
      <c r="K4" s="9">
        <v>110</v>
      </c>
      <c r="L4" s="9">
        <v>242</v>
      </c>
      <c r="N4" s="8" t="s">
        <v>19</v>
      </c>
      <c r="O4" s="9">
        <v>409</v>
      </c>
      <c r="Q4" s="8" t="s">
        <v>14</v>
      </c>
      <c r="R4" s="10">
        <v>0.45244956772334294</v>
      </c>
      <c r="T4" s="8" t="s">
        <v>14</v>
      </c>
      <c r="U4" s="9">
        <v>310</v>
      </c>
      <c r="V4" s="9">
        <v>471</v>
      </c>
      <c r="W4" s="9">
        <v>217</v>
      </c>
    </row>
    <row r="5" spans="1:23" ht="15" x14ac:dyDescent="0.25">
      <c r="A5" s="8" t="s">
        <v>142</v>
      </c>
      <c r="B5" s="9">
        <v>720</v>
      </c>
      <c r="D5" s="8" t="s">
        <v>15</v>
      </c>
      <c r="E5" s="9">
        <v>316</v>
      </c>
      <c r="G5" s="8" t="s">
        <v>66</v>
      </c>
      <c r="H5" s="9">
        <v>54</v>
      </c>
      <c r="J5" s="8" t="s">
        <v>34</v>
      </c>
      <c r="K5" s="9">
        <v>177</v>
      </c>
      <c r="L5" s="9">
        <v>237</v>
      </c>
      <c r="N5" s="8" t="s">
        <v>24</v>
      </c>
      <c r="O5" s="9">
        <v>406</v>
      </c>
      <c r="Q5" s="8" t="s">
        <v>28</v>
      </c>
      <c r="R5" s="10">
        <v>0.1834774255523535</v>
      </c>
      <c r="T5" s="8" t="s">
        <v>28</v>
      </c>
      <c r="U5" s="9">
        <v>190</v>
      </c>
      <c r="V5" s="9">
        <v>191</v>
      </c>
      <c r="W5" s="9">
        <v>106</v>
      </c>
    </row>
    <row r="6" spans="1:23" ht="15" x14ac:dyDescent="0.25">
      <c r="A6" s="8" t="s">
        <v>143</v>
      </c>
      <c r="B6" s="9">
        <v>1041</v>
      </c>
      <c r="D6" s="8" t="s">
        <v>20</v>
      </c>
      <c r="E6" s="9">
        <v>352</v>
      </c>
      <c r="G6" s="8" t="s">
        <v>26</v>
      </c>
      <c r="H6" s="9">
        <v>68</v>
      </c>
      <c r="J6" s="8" t="s">
        <v>17</v>
      </c>
      <c r="K6" s="9">
        <v>283</v>
      </c>
      <c r="L6" s="9">
        <v>338</v>
      </c>
      <c r="N6" s="8" t="s">
        <v>28</v>
      </c>
      <c r="O6" s="9">
        <v>334</v>
      </c>
      <c r="Q6" s="8" t="s">
        <v>24</v>
      </c>
      <c r="R6" s="10">
        <v>0.22574447646493756</v>
      </c>
      <c r="T6" s="8" t="s">
        <v>24</v>
      </c>
      <c r="U6" s="9">
        <v>131</v>
      </c>
      <c r="V6" s="9">
        <v>235</v>
      </c>
      <c r="W6" s="9">
        <v>114</v>
      </c>
    </row>
    <row r="7" spans="1:23" ht="15" x14ac:dyDescent="0.25">
      <c r="A7" s="8" t="s">
        <v>144</v>
      </c>
      <c r="B7" s="9">
        <v>531</v>
      </c>
      <c r="D7" s="8" t="s">
        <v>29</v>
      </c>
      <c r="E7" s="9">
        <v>375</v>
      </c>
      <c r="G7" s="8" t="s">
        <v>33</v>
      </c>
      <c r="H7" s="9">
        <v>121</v>
      </c>
      <c r="J7" s="8" t="s">
        <v>22</v>
      </c>
      <c r="K7" s="9">
        <v>150</v>
      </c>
      <c r="L7" s="9">
        <v>224</v>
      </c>
      <c r="N7" s="8" t="s">
        <v>14</v>
      </c>
      <c r="O7" s="9">
        <v>1158</v>
      </c>
      <c r="Q7" s="8" t="s">
        <v>19</v>
      </c>
      <c r="R7" s="10">
        <v>0.13832853025936601</v>
      </c>
      <c r="T7" s="8" t="s">
        <v>19</v>
      </c>
      <c r="U7" s="9">
        <v>89</v>
      </c>
      <c r="V7" s="9">
        <v>144</v>
      </c>
      <c r="W7" s="9">
        <v>94</v>
      </c>
    </row>
    <row r="8" spans="1:23" ht="15" x14ac:dyDescent="0.25">
      <c r="A8" s="8" t="s">
        <v>145</v>
      </c>
      <c r="B8" s="9">
        <v>1526</v>
      </c>
      <c r="D8" s="8" t="s">
        <v>45</v>
      </c>
      <c r="E8" s="9">
        <v>460</v>
      </c>
      <c r="G8" s="8" t="s">
        <v>30</v>
      </c>
      <c r="H8" s="9">
        <v>126</v>
      </c>
      <c r="J8" s="8" t="s">
        <v>141</v>
      </c>
      <c r="K8" s="9">
        <v>720</v>
      </c>
      <c r="L8" s="9">
        <v>1041</v>
      </c>
      <c r="N8" s="8" t="s">
        <v>141</v>
      </c>
      <c r="O8" s="9">
        <v>2307</v>
      </c>
      <c r="Q8" s="8" t="s">
        <v>141</v>
      </c>
      <c r="R8" s="10">
        <v>1</v>
      </c>
      <c r="T8" s="8" t="s">
        <v>141</v>
      </c>
      <c r="U8" s="9">
        <v>720</v>
      </c>
      <c r="V8" s="9">
        <v>1041</v>
      </c>
      <c r="W8" s="9">
        <v>531</v>
      </c>
    </row>
    <row r="9" spans="1:23" ht="15" x14ac:dyDescent="0.25">
      <c r="A9" s="8" t="s">
        <v>148</v>
      </c>
      <c r="B9" s="9">
        <v>1319</v>
      </c>
      <c r="D9" s="8" t="s">
        <v>25</v>
      </c>
      <c r="E9" s="9">
        <v>517</v>
      </c>
      <c r="G9" s="8" t="s">
        <v>53</v>
      </c>
      <c r="H9" s="9">
        <v>147</v>
      </c>
    </row>
    <row r="10" spans="1:23" ht="15" x14ac:dyDescent="0.25">
      <c r="A10" s="8" t="s">
        <v>146</v>
      </c>
      <c r="B10" s="9">
        <v>273</v>
      </c>
      <c r="D10" s="8" t="s">
        <v>141</v>
      </c>
      <c r="E10" s="9">
        <v>2307</v>
      </c>
      <c r="G10" s="8" t="s">
        <v>16</v>
      </c>
      <c r="H10" s="9">
        <v>167</v>
      </c>
    </row>
    <row r="11" spans="1:23" ht="15" x14ac:dyDescent="0.25">
      <c r="G11" s="8" t="s">
        <v>141</v>
      </c>
      <c r="H11" s="9">
        <v>720</v>
      </c>
    </row>
    <row r="12" spans="1:23" ht="15" x14ac:dyDescent="0.25"/>
    <row r="13" spans="1:23" ht="15" x14ac:dyDescent="0.25"/>
    <row r="14" spans="1:23" ht="15" x14ac:dyDescent="0.25">
      <c r="A14" s="3" t="s">
        <v>150</v>
      </c>
      <c r="B14" s="3" t="s">
        <v>147</v>
      </c>
      <c r="G14" s="4" t="s">
        <v>140</v>
      </c>
      <c r="H14" s="4" t="s">
        <v>7</v>
      </c>
      <c r="I14" s="4" t="s">
        <v>158</v>
      </c>
    </row>
    <row r="15" spans="1:23" ht="15" x14ac:dyDescent="0.25">
      <c r="A15" s="4" t="s">
        <v>151</v>
      </c>
      <c r="B15" s="4">
        <v>2307</v>
      </c>
      <c r="F15" t="str">
        <f>G15&amp;" - "&amp;H15</f>
        <v>Tokyo - 37</v>
      </c>
      <c r="G15" s="4" t="s">
        <v>21</v>
      </c>
      <c r="H15" s="4">
        <f>GETPIVOTDATA("Active Violations",$G$3,"City",G15)</f>
        <v>37</v>
      </c>
      <c r="I15" s="4">
        <f>IF(H15&gt;100,200-H15,100-H15)</f>
        <v>63</v>
      </c>
    </row>
    <row r="16" spans="1:23" ht="15" x14ac:dyDescent="0.25">
      <c r="A16" s="4" t="s">
        <v>7</v>
      </c>
      <c r="B16" s="4">
        <v>720</v>
      </c>
      <c r="C16" s="5">
        <f>B16/$B$15</f>
        <v>0.31209362808842656</v>
      </c>
      <c r="F16" t="str">
        <f t="shared" ref="F16:F21" si="0">G16&amp;" - "&amp;H16</f>
        <v>Singapore - 54</v>
      </c>
      <c r="G16" s="4" t="s">
        <v>66</v>
      </c>
      <c r="H16" s="4">
        <f t="shared" ref="H16:H20" si="1">GETPIVOTDATA("Active Violations",$G$3,"City",G16)</f>
        <v>54</v>
      </c>
      <c r="I16" s="4">
        <f t="shared" ref="I16:I21" si="2">IF(H16&gt;100,200-H16,100-H16)</f>
        <v>46</v>
      </c>
    </row>
    <row r="17" spans="1:9" ht="15" x14ac:dyDescent="0.25">
      <c r="A17" s="4" t="s">
        <v>152</v>
      </c>
      <c r="B17" s="4">
        <v>1041</v>
      </c>
      <c r="C17" s="5">
        <f t="shared" ref="C17:C21" si="3">B17/$B$15</f>
        <v>0.45123537061118335</v>
      </c>
      <c r="F17" t="str">
        <f t="shared" si="0"/>
        <v>Paris - 68</v>
      </c>
      <c r="G17" s="4" t="s">
        <v>26</v>
      </c>
      <c r="H17" s="4">
        <f t="shared" si="1"/>
        <v>68</v>
      </c>
      <c r="I17" s="4">
        <f t="shared" si="2"/>
        <v>32</v>
      </c>
    </row>
    <row r="18" spans="1:9" ht="15" x14ac:dyDescent="0.25">
      <c r="A18" s="4" t="s">
        <v>9</v>
      </c>
      <c r="B18" s="4">
        <v>531</v>
      </c>
      <c r="C18" s="5">
        <f t="shared" si="3"/>
        <v>0.23016905071521457</v>
      </c>
      <c r="F18" t="str">
        <f t="shared" si="0"/>
        <v>Mumbai - 121</v>
      </c>
      <c r="G18" s="4" t="s">
        <v>33</v>
      </c>
      <c r="H18" s="4">
        <f t="shared" si="1"/>
        <v>121</v>
      </c>
      <c r="I18" s="4">
        <f t="shared" si="2"/>
        <v>79</v>
      </c>
    </row>
    <row r="19" spans="1:9" ht="15" x14ac:dyDescent="0.25">
      <c r="A19" s="4" t="s">
        <v>153</v>
      </c>
      <c r="B19" s="4">
        <v>1526</v>
      </c>
      <c r="F19" t="str">
        <f t="shared" si="0"/>
        <v>Sydney - 126</v>
      </c>
      <c r="G19" s="4" t="s">
        <v>30</v>
      </c>
      <c r="H19" s="4">
        <f t="shared" si="1"/>
        <v>126</v>
      </c>
      <c r="I19" s="4">
        <f t="shared" si="2"/>
        <v>74</v>
      </c>
    </row>
    <row r="20" spans="1:9" ht="15" x14ac:dyDescent="0.25">
      <c r="A20" s="4" t="s">
        <v>154</v>
      </c>
      <c r="B20" s="4">
        <v>1319</v>
      </c>
      <c r="F20" t="str">
        <f t="shared" si="0"/>
        <v>London - 147</v>
      </c>
      <c r="G20" s="4" t="s">
        <v>53</v>
      </c>
      <c r="H20" s="4">
        <f t="shared" si="1"/>
        <v>147</v>
      </c>
      <c r="I20" s="4">
        <f t="shared" si="2"/>
        <v>53</v>
      </c>
    </row>
    <row r="21" spans="1:9" ht="15" x14ac:dyDescent="0.25">
      <c r="A21" s="4" t="s">
        <v>155</v>
      </c>
      <c r="B21" s="4">
        <v>273</v>
      </c>
      <c r="F21" t="str">
        <f t="shared" si="0"/>
        <v>New York - 167</v>
      </c>
      <c r="G21" s="4" t="s">
        <v>16</v>
      </c>
      <c r="H21" s="4">
        <f>GETPIVOTDATA("Active Violations",$G$3,"City",G21)</f>
        <v>167</v>
      </c>
      <c r="I21" s="4">
        <f t="shared" si="2"/>
        <v>33</v>
      </c>
    </row>
    <row r="22" spans="1:9" ht="15" x14ac:dyDescent="0.25"/>
    <row r="23" spans="1:9" ht="15" x14ac:dyDescent="0.25"/>
    <row r="24" spans="1:9" ht="15" x14ac:dyDescent="0.25"/>
    <row r="25" spans="1:9" ht="15" x14ac:dyDescent="0.25"/>
    <row r="26" spans="1:9" ht="15" x14ac:dyDescent="0.25"/>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D0566-2575-44CA-BB40-F317AEE827BD}">
  <dimension ref="A1"/>
  <sheetViews>
    <sheetView showGridLines="0" tabSelected="1" topLeftCell="A3" zoomScale="62" zoomScaleNormal="62" workbookViewId="0">
      <selection activeCell="W24" sqref="W24"/>
    </sheetView>
  </sheetViews>
  <sheetFormatPr defaultRowHeight="14.2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EBABE-E977-479D-99E2-8F50B64A6B4A}">
  <dimension ref="A1:N100"/>
  <sheetViews>
    <sheetView showGridLines="0" workbookViewId="0">
      <pane ySplit="1" topLeftCell="A2" activePane="bottomLeft" state="frozen"/>
      <selection pane="bottomLeft" activeCell="N3" sqref="N3"/>
    </sheetView>
  </sheetViews>
  <sheetFormatPr defaultRowHeight="14.25" x14ac:dyDescent="0.2"/>
  <cols>
    <col min="1" max="1" width="34.75" customWidth="1"/>
    <col min="2" max="2" width="37.375" customWidth="1"/>
    <col min="3" max="3" width="33.375" customWidth="1"/>
    <col min="4" max="4" width="20.125" style="1" customWidth="1"/>
    <col min="5" max="5" width="21.375" customWidth="1"/>
    <col min="6" max="6" width="21" customWidth="1"/>
    <col min="7" max="7" width="19.375" customWidth="1"/>
    <col min="8" max="8" width="19.5" customWidth="1"/>
    <col min="9" max="9" width="16.5" customWidth="1"/>
    <col min="10" max="10" width="19.375" customWidth="1"/>
    <col min="11" max="11" width="20.875" customWidth="1"/>
    <col min="12" max="12" width="26.125" customWidth="1"/>
    <col min="13" max="13" width="20.625" customWidth="1"/>
  </cols>
  <sheetData>
    <row r="1" spans="1:14" x14ac:dyDescent="0.2">
      <c r="A1" t="s">
        <v>0</v>
      </c>
      <c r="B1" t="s">
        <v>1</v>
      </c>
      <c r="C1" t="s">
        <v>2</v>
      </c>
      <c r="D1" s="1" t="s">
        <v>3</v>
      </c>
      <c r="E1" t="s">
        <v>4</v>
      </c>
      <c r="F1" t="s">
        <v>5</v>
      </c>
      <c r="G1" t="s">
        <v>6</v>
      </c>
      <c r="H1" t="s">
        <v>7</v>
      </c>
      <c r="I1" t="s">
        <v>8</v>
      </c>
      <c r="J1" t="s">
        <v>9</v>
      </c>
      <c r="K1" t="s">
        <v>10</v>
      </c>
      <c r="L1" t="s">
        <v>11</v>
      </c>
      <c r="M1" t="s">
        <v>12</v>
      </c>
      <c r="N1" t="s">
        <v>138</v>
      </c>
    </row>
    <row r="2" spans="1:14" x14ac:dyDescent="0.2">
      <c r="A2" t="s">
        <v>13</v>
      </c>
      <c r="B2" t="s">
        <v>14</v>
      </c>
      <c r="C2" t="s">
        <v>15</v>
      </c>
      <c r="D2" s="1">
        <v>45047</v>
      </c>
      <c r="E2" t="s">
        <v>16</v>
      </c>
      <c r="F2">
        <v>16</v>
      </c>
      <c r="G2">
        <v>50</v>
      </c>
      <c r="H2">
        <v>28</v>
      </c>
      <c r="I2">
        <v>13</v>
      </c>
      <c r="J2">
        <v>6</v>
      </c>
      <c r="K2" t="s">
        <v>17</v>
      </c>
      <c r="L2">
        <v>14</v>
      </c>
      <c r="M2">
        <v>4</v>
      </c>
      <c r="N2">
        <f>YEAR(Table1[[#This Row],[Violation Date]])</f>
        <v>2023</v>
      </c>
    </row>
    <row r="3" spans="1:14" x14ac:dyDescent="0.2">
      <c r="A3" t="s">
        <v>18</v>
      </c>
      <c r="B3" t="s">
        <v>19</v>
      </c>
      <c r="C3" t="s">
        <v>20</v>
      </c>
      <c r="D3" s="1">
        <v>45615</v>
      </c>
      <c r="E3" t="s">
        <v>21</v>
      </c>
      <c r="F3">
        <v>16</v>
      </c>
      <c r="G3">
        <v>14</v>
      </c>
      <c r="H3">
        <v>5</v>
      </c>
      <c r="I3">
        <v>6</v>
      </c>
      <c r="J3">
        <v>4</v>
      </c>
      <c r="K3" t="s">
        <v>22</v>
      </c>
      <c r="L3">
        <v>19</v>
      </c>
      <c r="M3">
        <v>2</v>
      </c>
      <c r="N3">
        <f>YEAR(Table1[[#This Row],[Violation Date]])</f>
        <v>2024</v>
      </c>
    </row>
    <row r="4" spans="1:14" x14ac:dyDescent="0.2">
      <c r="A4" t="s">
        <v>23</v>
      </c>
      <c r="B4" t="s">
        <v>24</v>
      </c>
      <c r="C4" t="s">
        <v>25</v>
      </c>
      <c r="D4" s="1">
        <v>45601</v>
      </c>
      <c r="E4" t="s">
        <v>26</v>
      </c>
      <c r="F4">
        <v>16</v>
      </c>
      <c r="G4">
        <v>10</v>
      </c>
      <c r="H4">
        <v>9</v>
      </c>
      <c r="I4">
        <v>9</v>
      </c>
      <c r="J4">
        <v>9</v>
      </c>
      <c r="K4" t="s">
        <v>17</v>
      </c>
      <c r="L4">
        <v>15</v>
      </c>
      <c r="M4">
        <v>1</v>
      </c>
      <c r="N4">
        <f>YEAR(Table1[[#This Row],[Violation Date]])</f>
        <v>2024</v>
      </c>
    </row>
    <row r="5" spans="1:14" x14ac:dyDescent="0.2">
      <c r="A5" t="s">
        <v>27</v>
      </c>
      <c r="B5" t="s">
        <v>28</v>
      </c>
      <c r="C5" t="s">
        <v>29</v>
      </c>
      <c r="D5" s="1">
        <v>45564</v>
      </c>
      <c r="E5" t="s">
        <v>30</v>
      </c>
      <c r="F5" t="s">
        <v>31</v>
      </c>
      <c r="G5">
        <v>0</v>
      </c>
      <c r="H5">
        <v>11</v>
      </c>
      <c r="I5">
        <v>5</v>
      </c>
      <c r="J5">
        <v>6</v>
      </c>
      <c r="K5" t="s">
        <v>22</v>
      </c>
      <c r="L5">
        <v>11</v>
      </c>
      <c r="M5">
        <v>1</v>
      </c>
      <c r="N5">
        <f>YEAR(Table1[[#This Row],[Violation Date]])</f>
        <v>2024</v>
      </c>
    </row>
    <row r="6" spans="1:14" x14ac:dyDescent="0.2">
      <c r="A6" t="s">
        <v>32</v>
      </c>
      <c r="B6" t="s">
        <v>24</v>
      </c>
      <c r="C6" t="s">
        <v>20</v>
      </c>
      <c r="D6" s="1">
        <v>45542</v>
      </c>
      <c r="E6" t="s">
        <v>33</v>
      </c>
      <c r="F6">
        <v>15</v>
      </c>
      <c r="G6">
        <v>10</v>
      </c>
      <c r="H6">
        <v>9</v>
      </c>
      <c r="I6">
        <v>12</v>
      </c>
      <c r="J6">
        <v>4</v>
      </c>
      <c r="K6" t="s">
        <v>34</v>
      </c>
      <c r="L6">
        <v>12</v>
      </c>
      <c r="M6">
        <v>1</v>
      </c>
      <c r="N6">
        <f>YEAR(Table1[[#This Row],[Violation Date]])</f>
        <v>2024</v>
      </c>
    </row>
    <row r="7" spans="1:14" x14ac:dyDescent="0.2">
      <c r="A7" t="s">
        <v>35</v>
      </c>
      <c r="B7" t="s">
        <v>14</v>
      </c>
      <c r="C7" t="s">
        <v>36</v>
      </c>
      <c r="D7" s="1">
        <v>45460</v>
      </c>
      <c r="E7" t="s">
        <v>21</v>
      </c>
      <c r="F7">
        <v>18</v>
      </c>
      <c r="G7">
        <v>19</v>
      </c>
      <c r="H7">
        <v>9</v>
      </c>
      <c r="I7">
        <v>14</v>
      </c>
      <c r="J7">
        <v>4</v>
      </c>
      <c r="K7" t="s">
        <v>17</v>
      </c>
      <c r="L7">
        <v>14</v>
      </c>
      <c r="M7">
        <v>1</v>
      </c>
      <c r="N7">
        <f>YEAR(Table1[[#This Row],[Violation Date]])</f>
        <v>2024</v>
      </c>
    </row>
    <row r="8" spans="1:14" x14ac:dyDescent="0.2">
      <c r="A8" t="s">
        <v>37</v>
      </c>
      <c r="B8" t="s">
        <v>24</v>
      </c>
      <c r="C8" t="s">
        <v>20</v>
      </c>
      <c r="D8" s="1">
        <v>45018</v>
      </c>
      <c r="E8" t="s">
        <v>16</v>
      </c>
      <c r="F8">
        <v>16</v>
      </c>
      <c r="G8">
        <v>10</v>
      </c>
      <c r="H8">
        <v>9</v>
      </c>
      <c r="I8">
        <v>6</v>
      </c>
      <c r="J8">
        <v>7</v>
      </c>
      <c r="K8" t="s">
        <v>22</v>
      </c>
      <c r="L8">
        <v>17</v>
      </c>
      <c r="M8">
        <v>1</v>
      </c>
      <c r="N8">
        <f>YEAR(Table1[[#This Row],[Violation Date]])</f>
        <v>2023</v>
      </c>
    </row>
    <row r="9" spans="1:14" x14ac:dyDescent="0.2">
      <c r="A9" t="s">
        <v>38</v>
      </c>
      <c r="B9" t="s">
        <v>14</v>
      </c>
      <c r="C9" t="s">
        <v>29</v>
      </c>
      <c r="D9" s="1">
        <v>45335</v>
      </c>
      <c r="E9" t="s">
        <v>26</v>
      </c>
      <c r="F9" t="s">
        <v>39</v>
      </c>
      <c r="G9">
        <v>15</v>
      </c>
      <c r="H9">
        <v>14</v>
      </c>
      <c r="I9">
        <v>11</v>
      </c>
      <c r="J9">
        <v>4</v>
      </c>
      <c r="K9" t="s">
        <v>34</v>
      </c>
      <c r="L9">
        <v>15</v>
      </c>
      <c r="M9">
        <v>4</v>
      </c>
      <c r="N9">
        <f>YEAR(Table1[[#This Row],[Violation Date]])</f>
        <v>2024</v>
      </c>
    </row>
    <row r="10" spans="1:14" x14ac:dyDescent="0.2">
      <c r="A10" t="s">
        <v>40</v>
      </c>
      <c r="B10" t="s">
        <v>14</v>
      </c>
      <c r="C10" t="s">
        <v>25</v>
      </c>
      <c r="D10" s="1">
        <v>45104</v>
      </c>
      <c r="E10" t="s">
        <v>30</v>
      </c>
      <c r="F10">
        <v>18</v>
      </c>
      <c r="G10">
        <v>14</v>
      </c>
      <c r="H10">
        <v>1</v>
      </c>
      <c r="I10">
        <v>13</v>
      </c>
      <c r="J10">
        <v>2</v>
      </c>
      <c r="K10" t="s">
        <v>34</v>
      </c>
      <c r="L10">
        <v>11</v>
      </c>
      <c r="M10">
        <v>2</v>
      </c>
      <c r="N10">
        <f>YEAR(Table1[[#This Row],[Violation Date]])</f>
        <v>2023</v>
      </c>
    </row>
    <row r="11" spans="1:14" x14ac:dyDescent="0.2">
      <c r="A11" t="s">
        <v>41</v>
      </c>
      <c r="B11" t="s">
        <v>14</v>
      </c>
      <c r="C11" t="s">
        <v>25</v>
      </c>
      <c r="D11" s="1">
        <v>44927</v>
      </c>
      <c r="E11" t="s">
        <v>33</v>
      </c>
      <c r="F11">
        <v>20</v>
      </c>
      <c r="G11">
        <v>19</v>
      </c>
      <c r="H11">
        <v>6</v>
      </c>
      <c r="I11">
        <v>13</v>
      </c>
      <c r="J11">
        <v>7</v>
      </c>
      <c r="K11" t="s">
        <v>22</v>
      </c>
      <c r="L11">
        <v>14</v>
      </c>
      <c r="M11">
        <v>2</v>
      </c>
      <c r="N11">
        <f>YEAR(Table1[[#This Row],[Violation Date]])</f>
        <v>2023</v>
      </c>
    </row>
    <row r="12" spans="1:14" x14ac:dyDescent="0.2">
      <c r="A12" t="s">
        <v>42</v>
      </c>
      <c r="B12" t="s">
        <v>14</v>
      </c>
      <c r="C12" t="s">
        <v>20</v>
      </c>
      <c r="D12" s="1">
        <v>45313</v>
      </c>
      <c r="E12" t="s">
        <v>30</v>
      </c>
      <c r="F12">
        <v>20</v>
      </c>
      <c r="G12">
        <v>14</v>
      </c>
      <c r="H12">
        <v>9</v>
      </c>
      <c r="I12">
        <v>15</v>
      </c>
      <c r="J12">
        <v>3</v>
      </c>
      <c r="K12" t="s">
        <v>17</v>
      </c>
      <c r="L12">
        <v>19</v>
      </c>
      <c r="M12">
        <v>1</v>
      </c>
      <c r="N12">
        <f>YEAR(Table1[[#This Row],[Violation Date]])</f>
        <v>2024</v>
      </c>
    </row>
    <row r="13" spans="1:14" x14ac:dyDescent="0.2">
      <c r="A13" t="s">
        <v>43</v>
      </c>
      <c r="B13" t="s">
        <v>14</v>
      </c>
      <c r="C13" t="s">
        <v>20</v>
      </c>
      <c r="D13" s="1">
        <v>44947</v>
      </c>
      <c r="E13" t="s">
        <v>33</v>
      </c>
      <c r="F13">
        <v>18</v>
      </c>
      <c r="G13">
        <v>23</v>
      </c>
      <c r="H13">
        <v>12</v>
      </c>
      <c r="I13">
        <v>13</v>
      </c>
      <c r="J13">
        <v>4</v>
      </c>
      <c r="K13" t="s">
        <v>17</v>
      </c>
      <c r="L13">
        <v>10</v>
      </c>
      <c r="M13">
        <v>2</v>
      </c>
      <c r="N13">
        <f>YEAR(Table1[[#This Row],[Violation Date]])</f>
        <v>2023</v>
      </c>
    </row>
    <row r="14" spans="1:14" x14ac:dyDescent="0.2">
      <c r="A14" t="s">
        <v>44</v>
      </c>
      <c r="B14" t="s">
        <v>24</v>
      </c>
      <c r="C14" t="s">
        <v>45</v>
      </c>
      <c r="D14" s="1">
        <v>45618</v>
      </c>
      <c r="E14" t="s">
        <v>16</v>
      </c>
      <c r="F14">
        <v>18</v>
      </c>
      <c r="G14">
        <v>10</v>
      </c>
      <c r="H14">
        <v>9</v>
      </c>
      <c r="I14">
        <v>15</v>
      </c>
      <c r="J14">
        <v>5</v>
      </c>
      <c r="K14" t="s">
        <v>22</v>
      </c>
      <c r="L14">
        <v>16</v>
      </c>
      <c r="M14">
        <v>2</v>
      </c>
      <c r="N14">
        <f>YEAR(Table1[[#This Row],[Violation Date]])</f>
        <v>2024</v>
      </c>
    </row>
    <row r="15" spans="1:14" x14ac:dyDescent="0.2">
      <c r="A15" t="s">
        <v>46</v>
      </c>
      <c r="B15" t="s">
        <v>24</v>
      </c>
      <c r="C15" t="s">
        <v>20</v>
      </c>
      <c r="D15" s="1">
        <v>45397</v>
      </c>
      <c r="E15" t="s">
        <v>26</v>
      </c>
      <c r="F15">
        <v>20</v>
      </c>
      <c r="G15">
        <v>10</v>
      </c>
      <c r="H15">
        <v>9</v>
      </c>
      <c r="I15">
        <v>9</v>
      </c>
      <c r="J15">
        <v>2</v>
      </c>
      <c r="K15" t="s">
        <v>22</v>
      </c>
      <c r="L15">
        <v>14</v>
      </c>
      <c r="M15">
        <v>5</v>
      </c>
      <c r="N15">
        <f>YEAR(Table1[[#This Row],[Violation Date]])</f>
        <v>2024</v>
      </c>
    </row>
    <row r="16" spans="1:14" x14ac:dyDescent="0.2">
      <c r="A16" t="s">
        <v>47</v>
      </c>
      <c r="B16" t="s">
        <v>28</v>
      </c>
      <c r="C16" t="s">
        <v>20</v>
      </c>
      <c r="D16" s="1">
        <v>45217</v>
      </c>
      <c r="E16" t="s">
        <v>21</v>
      </c>
      <c r="F16">
        <v>17</v>
      </c>
      <c r="G16">
        <v>10</v>
      </c>
      <c r="H16">
        <v>9</v>
      </c>
      <c r="I16">
        <v>5</v>
      </c>
      <c r="J16">
        <v>2</v>
      </c>
      <c r="K16" t="s">
        <v>48</v>
      </c>
      <c r="L16">
        <v>19</v>
      </c>
      <c r="M16">
        <v>3</v>
      </c>
      <c r="N16">
        <f>YEAR(Table1[[#This Row],[Violation Date]])</f>
        <v>2023</v>
      </c>
    </row>
    <row r="17" spans="1:14" x14ac:dyDescent="0.2">
      <c r="A17" t="s">
        <v>49</v>
      </c>
      <c r="B17" t="s">
        <v>19</v>
      </c>
      <c r="C17" t="s">
        <v>25</v>
      </c>
      <c r="D17" s="1">
        <v>44935</v>
      </c>
      <c r="E17" t="s">
        <v>33</v>
      </c>
      <c r="F17">
        <v>16</v>
      </c>
      <c r="G17">
        <v>39</v>
      </c>
      <c r="H17">
        <v>15</v>
      </c>
      <c r="I17">
        <v>5</v>
      </c>
      <c r="J17">
        <v>5</v>
      </c>
      <c r="K17" t="s">
        <v>34</v>
      </c>
      <c r="L17">
        <v>18</v>
      </c>
      <c r="M17">
        <v>3</v>
      </c>
      <c r="N17">
        <f>YEAR(Table1[[#This Row],[Violation Date]])</f>
        <v>2023</v>
      </c>
    </row>
    <row r="18" spans="1:14" x14ac:dyDescent="0.2">
      <c r="A18" t="s">
        <v>50</v>
      </c>
      <c r="B18" t="s">
        <v>14</v>
      </c>
      <c r="C18" t="s">
        <v>45</v>
      </c>
      <c r="D18" s="1">
        <v>45265</v>
      </c>
      <c r="E18" t="s">
        <v>30</v>
      </c>
      <c r="F18">
        <v>10</v>
      </c>
      <c r="G18">
        <v>35</v>
      </c>
      <c r="H18">
        <v>9</v>
      </c>
      <c r="I18">
        <v>13</v>
      </c>
      <c r="J18">
        <v>2</v>
      </c>
      <c r="K18" t="s">
        <v>48</v>
      </c>
      <c r="L18">
        <v>11</v>
      </c>
      <c r="M18">
        <v>5</v>
      </c>
      <c r="N18">
        <f>YEAR(Table1[[#This Row],[Violation Date]])</f>
        <v>2023</v>
      </c>
    </row>
    <row r="19" spans="1:14" x14ac:dyDescent="0.2">
      <c r="A19" t="s">
        <v>51</v>
      </c>
      <c r="B19" t="s">
        <v>28</v>
      </c>
      <c r="C19" t="s">
        <v>45</v>
      </c>
      <c r="D19" s="1">
        <v>45315</v>
      </c>
      <c r="E19" t="s">
        <v>16</v>
      </c>
      <c r="F19">
        <v>18</v>
      </c>
      <c r="G19">
        <v>16</v>
      </c>
      <c r="H19">
        <v>30</v>
      </c>
      <c r="I19">
        <v>14</v>
      </c>
      <c r="J19">
        <v>13</v>
      </c>
      <c r="K19" t="s">
        <v>34</v>
      </c>
      <c r="L19">
        <v>11</v>
      </c>
      <c r="M19">
        <v>2</v>
      </c>
      <c r="N19">
        <f>YEAR(Table1[[#This Row],[Violation Date]])</f>
        <v>2024</v>
      </c>
    </row>
    <row r="20" spans="1:14" x14ac:dyDescent="0.2">
      <c r="A20" t="s">
        <v>52</v>
      </c>
      <c r="B20" t="s">
        <v>14</v>
      </c>
      <c r="C20" t="s">
        <v>29</v>
      </c>
      <c r="D20" s="1">
        <v>45552</v>
      </c>
      <c r="E20" t="s">
        <v>53</v>
      </c>
      <c r="F20" t="s">
        <v>54</v>
      </c>
      <c r="G20">
        <v>20</v>
      </c>
      <c r="H20">
        <v>38</v>
      </c>
      <c r="I20">
        <v>5</v>
      </c>
      <c r="J20">
        <v>6</v>
      </c>
      <c r="K20" t="s">
        <v>17</v>
      </c>
      <c r="L20">
        <v>11</v>
      </c>
      <c r="M20">
        <v>5</v>
      </c>
      <c r="N20">
        <f>YEAR(Table1[[#This Row],[Violation Date]])</f>
        <v>2024</v>
      </c>
    </row>
    <row r="21" spans="1:14" x14ac:dyDescent="0.2">
      <c r="A21" t="s">
        <v>55</v>
      </c>
      <c r="B21" t="s">
        <v>14</v>
      </c>
      <c r="C21" t="s">
        <v>15</v>
      </c>
      <c r="D21" s="1">
        <v>45039</v>
      </c>
      <c r="E21" t="s">
        <v>26</v>
      </c>
      <c r="F21">
        <v>17</v>
      </c>
      <c r="G21">
        <v>46</v>
      </c>
      <c r="H21">
        <v>15</v>
      </c>
      <c r="I21">
        <v>11</v>
      </c>
      <c r="J21">
        <v>2</v>
      </c>
      <c r="K21" t="s">
        <v>34</v>
      </c>
      <c r="L21">
        <v>10</v>
      </c>
      <c r="M21">
        <v>5</v>
      </c>
      <c r="N21">
        <f>YEAR(Table1[[#This Row],[Violation Date]])</f>
        <v>2023</v>
      </c>
    </row>
    <row r="22" spans="1:14" x14ac:dyDescent="0.2">
      <c r="A22" t="s">
        <v>56</v>
      </c>
      <c r="B22" t="s">
        <v>14</v>
      </c>
      <c r="C22" t="s">
        <v>29</v>
      </c>
      <c r="D22" s="1">
        <v>45340</v>
      </c>
      <c r="E22" t="s">
        <v>30</v>
      </c>
      <c r="F22" t="s">
        <v>57</v>
      </c>
      <c r="G22">
        <v>50</v>
      </c>
      <c r="H22">
        <v>28</v>
      </c>
      <c r="I22">
        <v>8</v>
      </c>
      <c r="J22">
        <v>3</v>
      </c>
      <c r="K22" t="s">
        <v>17</v>
      </c>
      <c r="L22">
        <v>15</v>
      </c>
      <c r="M22">
        <v>4</v>
      </c>
      <c r="N22">
        <f>YEAR(Table1[[#This Row],[Violation Date]])</f>
        <v>2024</v>
      </c>
    </row>
    <row r="23" spans="1:14" x14ac:dyDescent="0.2">
      <c r="A23" t="s">
        <v>58</v>
      </c>
      <c r="B23" t="s">
        <v>28</v>
      </c>
      <c r="C23" t="s">
        <v>36</v>
      </c>
      <c r="D23" s="1">
        <v>45237</v>
      </c>
      <c r="E23" t="s">
        <v>33</v>
      </c>
      <c r="F23">
        <v>10</v>
      </c>
      <c r="G23">
        <v>16</v>
      </c>
      <c r="H23">
        <v>13</v>
      </c>
      <c r="I23">
        <v>6</v>
      </c>
      <c r="J23">
        <v>9</v>
      </c>
      <c r="K23" t="s">
        <v>48</v>
      </c>
      <c r="L23">
        <v>18</v>
      </c>
      <c r="M23">
        <v>1</v>
      </c>
      <c r="N23">
        <f>YEAR(Table1[[#This Row],[Violation Date]])</f>
        <v>2023</v>
      </c>
    </row>
    <row r="24" spans="1:14" x14ac:dyDescent="0.2">
      <c r="A24" t="s">
        <v>59</v>
      </c>
      <c r="B24" t="s">
        <v>19</v>
      </c>
      <c r="C24" t="s">
        <v>20</v>
      </c>
      <c r="D24" s="1">
        <v>45209</v>
      </c>
      <c r="E24" t="s">
        <v>26</v>
      </c>
      <c r="F24">
        <v>15</v>
      </c>
      <c r="G24">
        <v>10</v>
      </c>
      <c r="H24">
        <v>13</v>
      </c>
      <c r="I24">
        <v>9</v>
      </c>
      <c r="J24">
        <v>7</v>
      </c>
      <c r="K24" t="s">
        <v>34</v>
      </c>
      <c r="L24">
        <v>19</v>
      </c>
      <c r="M24">
        <v>4</v>
      </c>
      <c r="N24">
        <f>YEAR(Table1[[#This Row],[Violation Date]])</f>
        <v>2023</v>
      </c>
    </row>
    <row r="25" spans="1:14" x14ac:dyDescent="0.2">
      <c r="A25" t="s">
        <v>60</v>
      </c>
      <c r="B25" t="s">
        <v>24</v>
      </c>
      <c r="C25" t="s">
        <v>36</v>
      </c>
      <c r="D25" s="1">
        <v>45243</v>
      </c>
      <c r="E25" t="s">
        <v>16</v>
      </c>
      <c r="F25">
        <v>19</v>
      </c>
      <c r="G25">
        <v>10</v>
      </c>
      <c r="H25">
        <v>11</v>
      </c>
      <c r="I25">
        <v>12</v>
      </c>
      <c r="J25">
        <v>5</v>
      </c>
      <c r="K25" t="s">
        <v>22</v>
      </c>
      <c r="L25">
        <v>18</v>
      </c>
      <c r="M25">
        <v>2</v>
      </c>
      <c r="N25">
        <f>YEAR(Table1[[#This Row],[Violation Date]])</f>
        <v>2023</v>
      </c>
    </row>
    <row r="26" spans="1:14" x14ac:dyDescent="0.2">
      <c r="A26" t="s">
        <v>61</v>
      </c>
      <c r="B26" t="s">
        <v>14</v>
      </c>
      <c r="C26" t="s">
        <v>36</v>
      </c>
      <c r="D26" s="1">
        <v>45480</v>
      </c>
      <c r="E26" t="s">
        <v>30</v>
      </c>
      <c r="F26">
        <v>12</v>
      </c>
      <c r="G26">
        <v>13</v>
      </c>
      <c r="H26">
        <v>11</v>
      </c>
      <c r="I26">
        <v>14</v>
      </c>
      <c r="J26">
        <v>8</v>
      </c>
      <c r="K26" t="s">
        <v>17</v>
      </c>
      <c r="L26">
        <v>13</v>
      </c>
      <c r="M26">
        <v>1</v>
      </c>
      <c r="N26">
        <f>YEAR(Table1[[#This Row],[Violation Date]])</f>
        <v>2024</v>
      </c>
    </row>
    <row r="27" spans="1:14" x14ac:dyDescent="0.2">
      <c r="A27" t="s">
        <v>62</v>
      </c>
      <c r="B27" t="s">
        <v>28</v>
      </c>
      <c r="C27" t="s">
        <v>45</v>
      </c>
      <c r="D27" s="1">
        <v>45298</v>
      </c>
      <c r="E27" t="s">
        <v>53</v>
      </c>
      <c r="F27">
        <v>13</v>
      </c>
      <c r="G27">
        <v>16</v>
      </c>
      <c r="H27">
        <v>11</v>
      </c>
      <c r="I27">
        <v>11</v>
      </c>
      <c r="J27">
        <v>6</v>
      </c>
      <c r="K27" t="s">
        <v>17</v>
      </c>
      <c r="L27">
        <v>15</v>
      </c>
      <c r="M27">
        <v>1</v>
      </c>
      <c r="N27">
        <f>YEAR(Table1[[#This Row],[Violation Date]])</f>
        <v>2024</v>
      </c>
    </row>
    <row r="28" spans="1:14" x14ac:dyDescent="0.2">
      <c r="A28" t="s">
        <v>63</v>
      </c>
      <c r="B28" t="s">
        <v>28</v>
      </c>
      <c r="C28" t="s">
        <v>20</v>
      </c>
      <c r="D28" s="1">
        <v>45287</v>
      </c>
      <c r="E28" t="s">
        <v>33</v>
      </c>
      <c r="F28">
        <v>17</v>
      </c>
      <c r="G28">
        <v>16</v>
      </c>
      <c r="H28">
        <v>4</v>
      </c>
      <c r="I28">
        <v>6</v>
      </c>
      <c r="J28">
        <v>2</v>
      </c>
      <c r="K28" t="s">
        <v>22</v>
      </c>
      <c r="L28">
        <v>17</v>
      </c>
      <c r="M28">
        <v>4</v>
      </c>
      <c r="N28">
        <f>YEAR(Table1[[#This Row],[Violation Date]])</f>
        <v>2023</v>
      </c>
    </row>
    <row r="29" spans="1:14" x14ac:dyDescent="0.2">
      <c r="A29" t="s">
        <v>64</v>
      </c>
      <c r="B29" t="s">
        <v>24</v>
      </c>
      <c r="C29" t="s">
        <v>25</v>
      </c>
      <c r="D29" s="1">
        <v>45390</v>
      </c>
      <c r="E29" t="s">
        <v>16</v>
      </c>
      <c r="F29">
        <v>17</v>
      </c>
      <c r="G29">
        <v>10</v>
      </c>
      <c r="H29">
        <v>11</v>
      </c>
      <c r="I29">
        <v>9</v>
      </c>
      <c r="J29">
        <v>4</v>
      </c>
      <c r="K29" t="s">
        <v>22</v>
      </c>
      <c r="L29">
        <v>15</v>
      </c>
      <c r="M29">
        <v>1</v>
      </c>
      <c r="N29">
        <f>YEAR(Table1[[#This Row],[Violation Date]])</f>
        <v>2024</v>
      </c>
    </row>
    <row r="30" spans="1:14" x14ac:dyDescent="0.2">
      <c r="A30" t="s">
        <v>65</v>
      </c>
      <c r="B30" t="s">
        <v>19</v>
      </c>
      <c r="C30" t="s">
        <v>20</v>
      </c>
      <c r="D30" s="1">
        <v>45109</v>
      </c>
      <c r="E30" t="s">
        <v>66</v>
      </c>
      <c r="F30">
        <v>11</v>
      </c>
      <c r="G30">
        <v>18</v>
      </c>
      <c r="H30">
        <v>7</v>
      </c>
      <c r="I30">
        <v>9</v>
      </c>
      <c r="J30">
        <v>7</v>
      </c>
      <c r="K30" t="s">
        <v>17</v>
      </c>
      <c r="L30">
        <v>16</v>
      </c>
      <c r="M30">
        <v>5</v>
      </c>
      <c r="N30">
        <f>YEAR(Table1[[#This Row],[Violation Date]])</f>
        <v>2023</v>
      </c>
    </row>
    <row r="31" spans="1:14" x14ac:dyDescent="0.2">
      <c r="A31" t="s">
        <v>67</v>
      </c>
      <c r="B31" t="s">
        <v>14</v>
      </c>
      <c r="C31" t="s">
        <v>45</v>
      </c>
      <c r="D31" s="1">
        <v>45188</v>
      </c>
      <c r="E31" t="s">
        <v>30</v>
      </c>
      <c r="F31">
        <v>15</v>
      </c>
      <c r="G31">
        <v>42</v>
      </c>
      <c r="H31">
        <v>2</v>
      </c>
      <c r="I31">
        <v>9</v>
      </c>
      <c r="J31">
        <v>4</v>
      </c>
      <c r="K31" t="s">
        <v>34</v>
      </c>
      <c r="L31">
        <v>12</v>
      </c>
      <c r="M31">
        <v>5</v>
      </c>
      <c r="N31">
        <f>YEAR(Table1[[#This Row],[Violation Date]])</f>
        <v>2023</v>
      </c>
    </row>
    <row r="32" spans="1:14" x14ac:dyDescent="0.2">
      <c r="A32" t="s">
        <v>68</v>
      </c>
      <c r="B32" t="s">
        <v>28</v>
      </c>
      <c r="C32" t="s">
        <v>25</v>
      </c>
      <c r="D32" s="1">
        <v>45475</v>
      </c>
      <c r="E32" t="s">
        <v>53</v>
      </c>
      <c r="F32">
        <v>15</v>
      </c>
      <c r="G32">
        <v>16</v>
      </c>
      <c r="H32">
        <v>32</v>
      </c>
      <c r="I32">
        <v>11</v>
      </c>
      <c r="J32">
        <v>5</v>
      </c>
      <c r="K32" t="s">
        <v>17</v>
      </c>
      <c r="L32">
        <v>19</v>
      </c>
      <c r="M32">
        <v>2</v>
      </c>
      <c r="N32">
        <f>YEAR(Table1[[#This Row],[Violation Date]])</f>
        <v>2024</v>
      </c>
    </row>
    <row r="33" spans="1:14" x14ac:dyDescent="0.2">
      <c r="A33" t="s">
        <v>69</v>
      </c>
      <c r="B33" t="s">
        <v>14</v>
      </c>
      <c r="C33" t="s">
        <v>36</v>
      </c>
      <c r="D33" s="1">
        <v>45148</v>
      </c>
      <c r="E33" t="s">
        <v>33</v>
      </c>
      <c r="F33">
        <v>13</v>
      </c>
      <c r="G33">
        <v>17</v>
      </c>
      <c r="H33">
        <v>6</v>
      </c>
      <c r="I33">
        <v>14</v>
      </c>
      <c r="J33">
        <v>4</v>
      </c>
      <c r="K33" t="s">
        <v>48</v>
      </c>
      <c r="L33">
        <v>18</v>
      </c>
      <c r="M33">
        <v>3</v>
      </c>
      <c r="N33">
        <f>YEAR(Table1[[#This Row],[Violation Date]])</f>
        <v>2023</v>
      </c>
    </row>
    <row r="34" spans="1:14" x14ac:dyDescent="0.2">
      <c r="A34" t="s">
        <v>70</v>
      </c>
      <c r="B34" t="s">
        <v>19</v>
      </c>
      <c r="C34" t="s">
        <v>20</v>
      </c>
      <c r="D34" s="1">
        <v>45456</v>
      </c>
      <c r="E34" t="s">
        <v>16</v>
      </c>
      <c r="F34">
        <v>11</v>
      </c>
      <c r="G34">
        <v>18</v>
      </c>
      <c r="H34">
        <v>11</v>
      </c>
      <c r="I34">
        <v>6</v>
      </c>
      <c r="J34">
        <v>6</v>
      </c>
      <c r="K34" t="s">
        <v>22</v>
      </c>
      <c r="L34">
        <v>15</v>
      </c>
      <c r="M34">
        <v>1</v>
      </c>
      <c r="N34">
        <f>YEAR(Table1[[#This Row],[Violation Date]])</f>
        <v>2024</v>
      </c>
    </row>
    <row r="35" spans="1:14" x14ac:dyDescent="0.2">
      <c r="A35" t="s">
        <v>71</v>
      </c>
      <c r="B35" t="s">
        <v>24</v>
      </c>
      <c r="C35" t="s">
        <v>29</v>
      </c>
      <c r="D35" s="1">
        <v>45619</v>
      </c>
      <c r="E35" t="s">
        <v>66</v>
      </c>
      <c r="F35" t="s">
        <v>72</v>
      </c>
      <c r="G35">
        <v>50</v>
      </c>
      <c r="H35">
        <v>11</v>
      </c>
      <c r="I35">
        <v>11</v>
      </c>
      <c r="J35">
        <v>3</v>
      </c>
      <c r="K35" t="s">
        <v>34</v>
      </c>
      <c r="L35">
        <v>13</v>
      </c>
      <c r="M35">
        <v>4</v>
      </c>
      <c r="N35">
        <f>YEAR(Table1[[#This Row],[Violation Date]])</f>
        <v>2024</v>
      </c>
    </row>
    <row r="36" spans="1:14" x14ac:dyDescent="0.2">
      <c r="A36" t="s">
        <v>73</v>
      </c>
      <c r="B36" t="s">
        <v>14</v>
      </c>
      <c r="C36" t="s">
        <v>15</v>
      </c>
      <c r="D36" s="1">
        <v>45073</v>
      </c>
      <c r="E36" t="s">
        <v>53</v>
      </c>
      <c r="F36">
        <v>18</v>
      </c>
      <c r="G36">
        <v>41</v>
      </c>
      <c r="H36">
        <v>11</v>
      </c>
      <c r="I36">
        <v>12</v>
      </c>
      <c r="J36">
        <v>4</v>
      </c>
      <c r="K36" t="s">
        <v>17</v>
      </c>
      <c r="L36">
        <v>12</v>
      </c>
      <c r="M36">
        <v>3</v>
      </c>
      <c r="N36">
        <f>YEAR(Table1[[#This Row],[Violation Date]])</f>
        <v>2023</v>
      </c>
    </row>
    <row r="37" spans="1:14" x14ac:dyDescent="0.2">
      <c r="A37" t="s">
        <v>74</v>
      </c>
      <c r="B37" t="s">
        <v>28</v>
      </c>
      <c r="C37" t="s">
        <v>45</v>
      </c>
      <c r="D37" s="1">
        <v>44978</v>
      </c>
      <c r="E37" t="s">
        <v>30</v>
      </c>
      <c r="F37">
        <v>14</v>
      </c>
      <c r="G37">
        <v>16</v>
      </c>
      <c r="H37">
        <v>9</v>
      </c>
      <c r="I37">
        <v>8</v>
      </c>
      <c r="J37">
        <v>3</v>
      </c>
      <c r="K37" t="s">
        <v>22</v>
      </c>
      <c r="L37">
        <v>11</v>
      </c>
      <c r="M37">
        <v>4</v>
      </c>
      <c r="N37">
        <f>YEAR(Table1[[#This Row],[Violation Date]])</f>
        <v>2023</v>
      </c>
    </row>
    <row r="38" spans="1:14" x14ac:dyDescent="0.2">
      <c r="A38" t="s">
        <v>75</v>
      </c>
      <c r="B38" t="s">
        <v>14</v>
      </c>
      <c r="C38" t="s">
        <v>25</v>
      </c>
      <c r="D38" s="1">
        <v>45396</v>
      </c>
      <c r="E38" t="s">
        <v>33</v>
      </c>
      <c r="F38">
        <v>17</v>
      </c>
      <c r="G38">
        <v>15</v>
      </c>
      <c r="H38">
        <v>11</v>
      </c>
      <c r="I38">
        <v>9</v>
      </c>
      <c r="J38">
        <v>5</v>
      </c>
      <c r="K38" t="s">
        <v>34</v>
      </c>
      <c r="L38">
        <v>17</v>
      </c>
      <c r="M38">
        <v>2</v>
      </c>
      <c r="N38">
        <f>YEAR(Table1[[#This Row],[Violation Date]])</f>
        <v>2024</v>
      </c>
    </row>
    <row r="39" spans="1:14" x14ac:dyDescent="0.2">
      <c r="A39" t="s">
        <v>76</v>
      </c>
      <c r="B39" t="s">
        <v>14</v>
      </c>
      <c r="C39" t="s">
        <v>20</v>
      </c>
      <c r="D39" s="1">
        <v>45179</v>
      </c>
      <c r="E39" t="s">
        <v>16</v>
      </c>
      <c r="F39">
        <v>11</v>
      </c>
      <c r="G39">
        <v>23</v>
      </c>
      <c r="H39">
        <v>11</v>
      </c>
      <c r="I39">
        <v>5</v>
      </c>
      <c r="J39">
        <v>6</v>
      </c>
      <c r="K39" t="s">
        <v>22</v>
      </c>
      <c r="L39">
        <v>14</v>
      </c>
      <c r="M39">
        <v>5</v>
      </c>
      <c r="N39">
        <f>YEAR(Table1[[#This Row],[Violation Date]])</f>
        <v>2023</v>
      </c>
    </row>
    <row r="40" spans="1:14" x14ac:dyDescent="0.2">
      <c r="A40" t="s">
        <v>77</v>
      </c>
      <c r="B40" t="s">
        <v>28</v>
      </c>
      <c r="C40" t="s">
        <v>29</v>
      </c>
      <c r="D40" s="1">
        <v>45089</v>
      </c>
      <c r="E40" t="s">
        <v>30</v>
      </c>
      <c r="F40" t="s">
        <v>31</v>
      </c>
      <c r="G40">
        <v>0</v>
      </c>
      <c r="H40">
        <v>7</v>
      </c>
      <c r="I40">
        <v>7</v>
      </c>
      <c r="J40">
        <v>3</v>
      </c>
      <c r="K40" t="s">
        <v>17</v>
      </c>
      <c r="L40">
        <v>16</v>
      </c>
      <c r="M40">
        <v>1</v>
      </c>
      <c r="N40">
        <f>YEAR(Table1[[#This Row],[Violation Date]])</f>
        <v>2023</v>
      </c>
    </row>
    <row r="41" spans="1:14" x14ac:dyDescent="0.2">
      <c r="A41" t="s">
        <v>78</v>
      </c>
      <c r="B41" t="s">
        <v>24</v>
      </c>
      <c r="C41" t="s">
        <v>36</v>
      </c>
      <c r="D41" s="1">
        <v>45633</v>
      </c>
      <c r="E41" t="s">
        <v>53</v>
      </c>
      <c r="F41">
        <v>13</v>
      </c>
      <c r="G41">
        <v>14</v>
      </c>
      <c r="H41">
        <v>7</v>
      </c>
      <c r="I41">
        <v>13</v>
      </c>
      <c r="J41">
        <v>4</v>
      </c>
      <c r="K41" t="s">
        <v>48</v>
      </c>
      <c r="L41">
        <v>20</v>
      </c>
      <c r="M41">
        <v>2</v>
      </c>
      <c r="N41">
        <f>YEAR(Table1[[#This Row],[Violation Date]])</f>
        <v>2024</v>
      </c>
    </row>
    <row r="42" spans="1:14" x14ac:dyDescent="0.2">
      <c r="A42" t="s">
        <v>79</v>
      </c>
      <c r="B42" t="s">
        <v>14</v>
      </c>
      <c r="C42" t="s">
        <v>36</v>
      </c>
      <c r="D42" s="1">
        <v>44995</v>
      </c>
      <c r="E42" t="s">
        <v>66</v>
      </c>
      <c r="F42">
        <v>16</v>
      </c>
      <c r="G42">
        <v>12</v>
      </c>
      <c r="H42">
        <v>7</v>
      </c>
      <c r="I42">
        <v>10</v>
      </c>
      <c r="J42">
        <v>7</v>
      </c>
      <c r="K42" t="s">
        <v>22</v>
      </c>
      <c r="L42">
        <v>18</v>
      </c>
      <c r="M42">
        <v>1</v>
      </c>
      <c r="N42">
        <f>YEAR(Table1[[#This Row],[Violation Date]])</f>
        <v>2023</v>
      </c>
    </row>
    <row r="43" spans="1:14" x14ac:dyDescent="0.2">
      <c r="A43" t="s">
        <v>80</v>
      </c>
      <c r="B43" t="s">
        <v>28</v>
      </c>
      <c r="C43" t="s">
        <v>45</v>
      </c>
      <c r="D43" s="1">
        <v>45426</v>
      </c>
      <c r="E43" t="s">
        <v>33</v>
      </c>
      <c r="F43">
        <v>19</v>
      </c>
      <c r="G43">
        <v>16</v>
      </c>
      <c r="H43">
        <v>17</v>
      </c>
      <c r="I43">
        <v>12</v>
      </c>
      <c r="J43">
        <v>5</v>
      </c>
      <c r="K43" t="s">
        <v>48</v>
      </c>
      <c r="L43">
        <v>16</v>
      </c>
      <c r="M43">
        <v>4</v>
      </c>
      <c r="N43">
        <f>YEAR(Table1[[#This Row],[Violation Date]])</f>
        <v>2024</v>
      </c>
    </row>
    <row r="44" spans="1:14" x14ac:dyDescent="0.2">
      <c r="A44" t="s">
        <v>81</v>
      </c>
      <c r="B44" t="s">
        <v>24</v>
      </c>
      <c r="C44" t="s">
        <v>20</v>
      </c>
      <c r="D44" s="1">
        <v>45491</v>
      </c>
      <c r="E44" t="s">
        <v>16</v>
      </c>
      <c r="F44">
        <v>11</v>
      </c>
      <c r="G44">
        <v>23</v>
      </c>
      <c r="H44">
        <v>7</v>
      </c>
      <c r="I44">
        <v>7</v>
      </c>
      <c r="J44">
        <v>8</v>
      </c>
      <c r="K44" t="s">
        <v>17</v>
      </c>
      <c r="L44">
        <v>17</v>
      </c>
      <c r="M44">
        <v>2</v>
      </c>
      <c r="N44">
        <f>YEAR(Table1[[#This Row],[Violation Date]])</f>
        <v>2024</v>
      </c>
    </row>
    <row r="45" spans="1:14" x14ac:dyDescent="0.2">
      <c r="A45" t="s">
        <v>82</v>
      </c>
      <c r="B45" t="s">
        <v>19</v>
      </c>
      <c r="C45" t="s">
        <v>15</v>
      </c>
      <c r="D45" s="1">
        <v>45283</v>
      </c>
      <c r="E45" t="s">
        <v>53</v>
      </c>
      <c r="F45">
        <v>17</v>
      </c>
      <c r="G45">
        <v>18</v>
      </c>
      <c r="H45">
        <v>7</v>
      </c>
      <c r="I45">
        <v>10</v>
      </c>
      <c r="J45">
        <v>6</v>
      </c>
      <c r="K45" t="s">
        <v>22</v>
      </c>
      <c r="L45">
        <v>19</v>
      </c>
      <c r="M45">
        <v>1</v>
      </c>
      <c r="N45">
        <f>YEAR(Table1[[#This Row],[Violation Date]])</f>
        <v>2023</v>
      </c>
    </row>
    <row r="46" spans="1:14" x14ac:dyDescent="0.2">
      <c r="A46" t="s">
        <v>83</v>
      </c>
      <c r="B46" t="s">
        <v>14</v>
      </c>
      <c r="C46" t="s">
        <v>29</v>
      </c>
      <c r="D46" s="1">
        <v>45167</v>
      </c>
      <c r="E46" t="s">
        <v>66</v>
      </c>
      <c r="F46" t="s">
        <v>39</v>
      </c>
      <c r="G46">
        <v>15</v>
      </c>
      <c r="H46">
        <v>7</v>
      </c>
      <c r="I46">
        <v>13</v>
      </c>
      <c r="J46">
        <v>4</v>
      </c>
      <c r="K46" t="s">
        <v>34</v>
      </c>
      <c r="L46">
        <v>11</v>
      </c>
      <c r="M46">
        <v>2</v>
      </c>
      <c r="N46">
        <f>YEAR(Table1[[#This Row],[Violation Date]])</f>
        <v>2023</v>
      </c>
    </row>
    <row r="47" spans="1:14" x14ac:dyDescent="0.2">
      <c r="A47" t="s">
        <v>84</v>
      </c>
      <c r="B47" t="s">
        <v>14</v>
      </c>
      <c r="C47" t="s">
        <v>25</v>
      </c>
      <c r="D47" s="1">
        <v>45212</v>
      </c>
      <c r="E47" t="s">
        <v>30</v>
      </c>
      <c r="F47">
        <v>13</v>
      </c>
      <c r="G47">
        <v>23</v>
      </c>
      <c r="H47">
        <v>7</v>
      </c>
      <c r="I47">
        <v>9</v>
      </c>
      <c r="J47">
        <v>5</v>
      </c>
      <c r="K47" t="s">
        <v>17</v>
      </c>
      <c r="L47">
        <v>15</v>
      </c>
      <c r="M47">
        <v>5</v>
      </c>
      <c r="N47">
        <f>YEAR(Table1[[#This Row],[Violation Date]])</f>
        <v>2023</v>
      </c>
    </row>
    <row r="48" spans="1:14" x14ac:dyDescent="0.2">
      <c r="A48" t="s">
        <v>85</v>
      </c>
      <c r="B48" t="s">
        <v>28</v>
      </c>
      <c r="C48" t="s">
        <v>36</v>
      </c>
      <c r="D48" s="1">
        <v>45608</v>
      </c>
      <c r="E48" t="s">
        <v>33</v>
      </c>
      <c r="F48">
        <v>12</v>
      </c>
      <c r="G48">
        <v>16</v>
      </c>
      <c r="H48">
        <v>9</v>
      </c>
      <c r="I48">
        <v>6</v>
      </c>
      <c r="J48">
        <v>2</v>
      </c>
      <c r="K48" t="s">
        <v>17</v>
      </c>
      <c r="L48">
        <v>14</v>
      </c>
      <c r="M48">
        <v>3</v>
      </c>
      <c r="N48">
        <f>YEAR(Table1[[#This Row],[Violation Date]])</f>
        <v>2024</v>
      </c>
    </row>
    <row r="49" spans="1:14" x14ac:dyDescent="0.2">
      <c r="A49" t="s">
        <v>86</v>
      </c>
      <c r="B49" t="s">
        <v>24</v>
      </c>
      <c r="C49" t="s">
        <v>20</v>
      </c>
      <c r="D49" s="1">
        <v>44946</v>
      </c>
      <c r="E49" t="s">
        <v>53</v>
      </c>
      <c r="F49">
        <v>19</v>
      </c>
      <c r="G49">
        <v>23</v>
      </c>
      <c r="H49">
        <v>7</v>
      </c>
      <c r="I49">
        <v>11</v>
      </c>
      <c r="J49">
        <v>6</v>
      </c>
      <c r="K49" t="s">
        <v>34</v>
      </c>
      <c r="L49">
        <v>13</v>
      </c>
      <c r="M49">
        <v>5</v>
      </c>
      <c r="N49">
        <f>YEAR(Table1[[#This Row],[Violation Date]])</f>
        <v>2023</v>
      </c>
    </row>
    <row r="50" spans="1:14" x14ac:dyDescent="0.2">
      <c r="A50" t="s">
        <v>87</v>
      </c>
      <c r="B50" t="s">
        <v>14</v>
      </c>
      <c r="C50" t="s">
        <v>45</v>
      </c>
      <c r="D50" s="1">
        <v>45393</v>
      </c>
      <c r="E50" t="s">
        <v>16</v>
      </c>
      <c r="F50">
        <v>16</v>
      </c>
      <c r="G50">
        <v>40</v>
      </c>
      <c r="H50">
        <v>7</v>
      </c>
      <c r="I50">
        <v>12</v>
      </c>
      <c r="J50">
        <v>4</v>
      </c>
      <c r="K50" t="s">
        <v>17</v>
      </c>
      <c r="L50">
        <v>12</v>
      </c>
      <c r="M50">
        <v>4</v>
      </c>
      <c r="N50">
        <f>YEAR(Table1[[#This Row],[Violation Date]])</f>
        <v>2024</v>
      </c>
    </row>
    <row r="51" spans="1:14" x14ac:dyDescent="0.2">
      <c r="A51" t="s">
        <v>88</v>
      </c>
      <c r="B51" t="s">
        <v>24</v>
      </c>
      <c r="C51" t="s">
        <v>25</v>
      </c>
      <c r="D51" s="1">
        <v>45129</v>
      </c>
      <c r="E51" t="s">
        <v>66</v>
      </c>
      <c r="F51">
        <v>17</v>
      </c>
      <c r="G51">
        <v>23</v>
      </c>
      <c r="H51">
        <v>7</v>
      </c>
      <c r="I51">
        <v>15</v>
      </c>
      <c r="J51">
        <v>5</v>
      </c>
      <c r="K51" t="s">
        <v>48</v>
      </c>
      <c r="L51">
        <v>19</v>
      </c>
      <c r="M51">
        <v>3</v>
      </c>
      <c r="N51">
        <f>YEAR(Table1[[#This Row],[Violation Date]])</f>
        <v>2023</v>
      </c>
    </row>
    <row r="52" spans="1:14" x14ac:dyDescent="0.2">
      <c r="A52" t="s">
        <v>89</v>
      </c>
      <c r="B52" t="s">
        <v>14</v>
      </c>
      <c r="C52" t="s">
        <v>29</v>
      </c>
      <c r="D52" s="1">
        <v>45003</v>
      </c>
      <c r="E52" t="s">
        <v>30</v>
      </c>
      <c r="F52" t="s">
        <v>54</v>
      </c>
      <c r="G52">
        <v>25</v>
      </c>
      <c r="H52">
        <v>7</v>
      </c>
      <c r="I52">
        <v>11</v>
      </c>
      <c r="J52">
        <v>5</v>
      </c>
      <c r="K52" t="s">
        <v>22</v>
      </c>
      <c r="L52">
        <v>18</v>
      </c>
      <c r="M52">
        <v>4</v>
      </c>
      <c r="N52">
        <f>YEAR(Table1[[#This Row],[Violation Date]])</f>
        <v>2023</v>
      </c>
    </row>
    <row r="53" spans="1:14" x14ac:dyDescent="0.2">
      <c r="A53" t="s">
        <v>90</v>
      </c>
      <c r="B53" t="s">
        <v>24</v>
      </c>
      <c r="C53" t="s">
        <v>15</v>
      </c>
      <c r="D53" s="1">
        <v>45348</v>
      </c>
      <c r="E53" t="s">
        <v>33</v>
      </c>
      <c r="F53">
        <v>19</v>
      </c>
      <c r="G53">
        <v>23</v>
      </c>
      <c r="H53">
        <v>8</v>
      </c>
      <c r="I53">
        <v>15</v>
      </c>
      <c r="J53">
        <v>6</v>
      </c>
      <c r="K53" t="s">
        <v>34</v>
      </c>
      <c r="L53">
        <v>16</v>
      </c>
      <c r="M53">
        <v>1</v>
      </c>
      <c r="N53">
        <f>YEAR(Table1[[#This Row],[Violation Date]])</f>
        <v>2024</v>
      </c>
    </row>
    <row r="54" spans="1:14" x14ac:dyDescent="0.2">
      <c r="A54" t="s">
        <v>91</v>
      </c>
      <c r="B54" t="s">
        <v>28</v>
      </c>
      <c r="C54" t="s">
        <v>36</v>
      </c>
      <c r="D54" s="1">
        <v>45643</v>
      </c>
      <c r="E54" t="s">
        <v>16</v>
      </c>
      <c r="F54">
        <v>14</v>
      </c>
      <c r="G54">
        <v>15</v>
      </c>
      <c r="H54">
        <v>7</v>
      </c>
      <c r="I54">
        <v>7</v>
      </c>
      <c r="J54">
        <v>5</v>
      </c>
      <c r="K54" t="s">
        <v>48</v>
      </c>
      <c r="L54">
        <v>15</v>
      </c>
      <c r="M54">
        <v>3</v>
      </c>
      <c r="N54">
        <f>YEAR(Table1[[#This Row],[Violation Date]])</f>
        <v>2024</v>
      </c>
    </row>
    <row r="55" spans="1:14" x14ac:dyDescent="0.2">
      <c r="A55" t="s">
        <v>92</v>
      </c>
      <c r="B55" t="s">
        <v>14</v>
      </c>
      <c r="C55" t="s">
        <v>45</v>
      </c>
      <c r="D55" s="1">
        <v>45056</v>
      </c>
      <c r="E55" t="s">
        <v>53</v>
      </c>
      <c r="F55">
        <v>11</v>
      </c>
      <c r="G55">
        <v>23</v>
      </c>
      <c r="H55">
        <v>7</v>
      </c>
      <c r="I55">
        <v>6</v>
      </c>
      <c r="J55">
        <v>3</v>
      </c>
      <c r="K55" t="s">
        <v>17</v>
      </c>
      <c r="L55">
        <v>17</v>
      </c>
      <c r="M55">
        <v>2</v>
      </c>
      <c r="N55">
        <f>YEAR(Table1[[#This Row],[Violation Date]])</f>
        <v>2023</v>
      </c>
    </row>
    <row r="56" spans="1:14" x14ac:dyDescent="0.2">
      <c r="A56" t="s">
        <v>93</v>
      </c>
      <c r="B56" t="s">
        <v>14</v>
      </c>
      <c r="C56" t="s">
        <v>25</v>
      </c>
      <c r="D56" s="1">
        <v>45559</v>
      </c>
      <c r="E56" t="s">
        <v>66</v>
      </c>
      <c r="F56">
        <v>16</v>
      </c>
      <c r="G56">
        <v>36</v>
      </c>
      <c r="H56">
        <v>7</v>
      </c>
      <c r="I56">
        <v>9</v>
      </c>
      <c r="J56">
        <v>7</v>
      </c>
      <c r="K56" t="s">
        <v>22</v>
      </c>
      <c r="L56">
        <v>13</v>
      </c>
      <c r="M56">
        <v>5</v>
      </c>
      <c r="N56">
        <f>YEAR(Table1[[#This Row],[Violation Date]])</f>
        <v>2024</v>
      </c>
    </row>
    <row r="57" spans="1:14" x14ac:dyDescent="0.2">
      <c r="A57" t="s">
        <v>94</v>
      </c>
      <c r="B57" t="s">
        <v>19</v>
      </c>
      <c r="C57" t="s">
        <v>20</v>
      </c>
      <c r="D57" s="1">
        <v>44971</v>
      </c>
      <c r="E57" t="s">
        <v>30</v>
      </c>
      <c r="F57">
        <v>13</v>
      </c>
      <c r="G57">
        <v>18</v>
      </c>
      <c r="H57">
        <v>7</v>
      </c>
      <c r="I57">
        <v>8</v>
      </c>
      <c r="J57">
        <v>6</v>
      </c>
      <c r="K57" t="s">
        <v>34</v>
      </c>
      <c r="L57">
        <v>19</v>
      </c>
      <c r="M57">
        <v>4</v>
      </c>
      <c r="N57">
        <f>YEAR(Table1[[#This Row],[Violation Date]])</f>
        <v>2023</v>
      </c>
    </row>
    <row r="58" spans="1:14" x14ac:dyDescent="0.2">
      <c r="A58" t="s">
        <v>95</v>
      </c>
      <c r="B58" t="s">
        <v>28</v>
      </c>
      <c r="C58" t="s">
        <v>29</v>
      </c>
      <c r="D58" s="1">
        <v>45654</v>
      </c>
      <c r="E58" t="s">
        <v>33</v>
      </c>
      <c r="F58" t="s">
        <v>57</v>
      </c>
      <c r="G58">
        <v>40</v>
      </c>
      <c r="H58">
        <v>7</v>
      </c>
      <c r="I58">
        <v>10</v>
      </c>
      <c r="J58">
        <v>5</v>
      </c>
      <c r="K58" t="s">
        <v>48</v>
      </c>
      <c r="L58">
        <v>14</v>
      </c>
      <c r="M58">
        <v>3</v>
      </c>
      <c r="N58">
        <f>YEAR(Table1[[#This Row],[Violation Date]])</f>
        <v>2024</v>
      </c>
    </row>
    <row r="59" spans="1:14" x14ac:dyDescent="0.2">
      <c r="A59" t="s">
        <v>96</v>
      </c>
      <c r="B59" t="s">
        <v>24</v>
      </c>
      <c r="C59" t="s">
        <v>36</v>
      </c>
      <c r="D59" s="1">
        <v>45455</v>
      </c>
      <c r="E59" t="s">
        <v>66</v>
      </c>
      <c r="F59">
        <v>15</v>
      </c>
      <c r="G59">
        <v>23</v>
      </c>
      <c r="H59">
        <v>2</v>
      </c>
      <c r="I59">
        <v>12</v>
      </c>
      <c r="J59">
        <v>8</v>
      </c>
      <c r="K59" t="s">
        <v>17</v>
      </c>
      <c r="L59">
        <v>12</v>
      </c>
      <c r="M59">
        <v>5</v>
      </c>
      <c r="N59">
        <f>YEAR(Table1[[#This Row],[Violation Date]])</f>
        <v>2024</v>
      </c>
    </row>
    <row r="60" spans="1:14" x14ac:dyDescent="0.2">
      <c r="A60" t="s">
        <v>97</v>
      </c>
      <c r="B60" t="s">
        <v>14</v>
      </c>
      <c r="C60" t="s">
        <v>45</v>
      </c>
      <c r="D60" s="1">
        <v>45117</v>
      </c>
      <c r="E60" t="s">
        <v>16</v>
      </c>
      <c r="F60">
        <v>18</v>
      </c>
      <c r="G60">
        <v>41</v>
      </c>
      <c r="H60">
        <v>2</v>
      </c>
      <c r="I60">
        <v>13</v>
      </c>
      <c r="J60">
        <v>4</v>
      </c>
      <c r="K60" t="s">
        <v>48</v>
      </c>
      <c r="L60">
        <v>16</v>
      </c>
      <c r="M60">
        <v>2</v>
      </c>
      <c r="N60">
        <f>YEAR(Table1[[#This Row],[Violation Date]])</f>
        <v>2023</v>
      </c>
    </row>
    <row r="61" spans="1:14" x14ac:dyDescent="0.2">
      <c r="A61" t="s">
        <v>98</v>
      </c>
      <c r="B61" t="s">
        <v>14</v>
      </c>
      <c r="C61" t="s">
        <v>25</v>
      </c>
      <c r="D61" s="1">
        <v>45252</v>
      </c>
      <c r="E61" t="s">
        <v>53</v>
      </c>
      <c r="F61">
        <v>19</v>
      </c>
      <c r="G61">
        <v>23</v>
      </c>
      <c r="H61">
        <v>4</v>
      </c>
      <c r="I61">
        <v>14</v>
      </c>
      <c r="J61">
        <v>5</v>
      </c>
      <c r="K61" t="s">
        <v>34</v>
      </c>
      <c r="L61">
        <v>17</v>
      </c>
      <c r="M61">
        <v>3</v>
      </c>
      <c r="N61">
        <f>YEAR(Table1[[#This Row],[Violation Date]])</f>
        <v>2023</v>
      </c>
    </row>
    <row r="62" spans="1:14" x14ac:dyDescent="0.2">
      <c r="A62" t="s">
        <v>99</v>
      </c>
      <c r="B62" t="s">
        <v>28</v>
      </c>
      <c r="C62" t="s">
        <v>20</v>
      </c>
      <c r="D62" s="1">
        <v>44950</v>
      </c>
      <c r="E62" t="s">
        <v>30</v>
      </c>
      <c r="F62">
        <v>18</v>
      </c>
      <c r="G62">
        <v>20</v>
      </c>
      <c r="H62">
        <v>2</v>
      </c>
      <c r="I62">
        <v>9</v>
      </c>
      <c r="J62">
        <v>4</v>
      </c>
      <c r="K62" t="s">
        <v>17</v>
      </c>
      <c r="L62">
        <v>14</v>
      </c>
      <c r="M62">
        <v>2</v>
      </c>
      <c r="N62">
        <f>YEAR(Table1[[#This Row],[Violation Date]])</f>
        <v>2023</v>
      </c>
    </row>
    <row r="63" spans="1:14" x14ac:dyDescent="0.2">
      <c r="A63" t="s">
        <v>100</v>
      </c>
      <c r="B63" t="s">
        <v>14</v>
      </c>
      <c r="C63" t="s">
        <v>15</v>
      </c>
      <c r="D63" s="1">
        <v>45025</v>
      </c>
      <c r="E63" t="s">
        <v>53</v>
      </c>
      <c r="F63">
        <v>12</v>
      </c>
      <c r="G63">
        <v>46</v>
      </c>
      <c r="H63">
        <v>1</v>
      </c>
      <c r="I63">
        <v>15</v>
      </c>
      <c r="J63">
        <v>6</v>
      </c>
      <c r="K63" t="s">
        <v>22</v>
      </c>
      <c r="L63">
        <v>16</v>
      </c>
      <c r="M63">
        <v>4</v>
      </c>
      <c r="N63">
        <f>YEAR(Table1[[#This Row],[Violation Date]])</f>
        <v>2023</v>
      </c>
    </row>
    <row r="64" spans="1:14" x14ac:dyDescent="0.2">
      <c r="A64" t="s">
        <v>101</v>
      </c>
      <c r="B64" t="s">
        <v>24</v>
      </c>
      <c r="C64" t="s">
        <v>36</v>
      </c>
      <c r="D64" s="1">
        <v>45252</v>
      </c>
      <c r="E64" t="s">
        <v>16</v>
      </c>
      <c r="F64">
        <v>16</v>
      </c>
      <c r="G64">
        <v>13</v>
      </c>
      <c r="H64">
        <v>2</v>
      </c>
      <c r="I64">
        <v>10</v>
      </c>
      <c r="J64">
        <v>8</v>
      </c>
      <c r="K64" t="s">
        <v>34</v>
      </c>
      <c r="L64">
        <v>19</v>
      </c>
      <c r="M64">
        <v>1</v>
      </c>
      <c r="N64">
        <f>YEAR(Table1[[#This Row],[Violation Date]])</f>
        <v>2023</v>
      </c>
    </row>
    <row r="65" spans="1:14" x14ac:dyDescent="0.2">
      <c r="A65" t="s">
        <v>102</v>
      </c>
      <c r="B65" t="s">
        <v>14</v>
      </c>
      <c r="C65" t="s">
        <v>45</v>
      </c>
      <c r="D65" s="1">
        <v>45222</v>
      </c>
      <c r="E65" t="s">
        <v>66</v>
      </c>
      <c r="F65">
        <v>11</v>
      </c>
      <c r="G65">
        <v>23</v>
      </c>
      <c r="H65">
        <v>2</v>
      </c>
      <c r="I65">
        <v>7</v>
      </c>
      <c r="J65">
        <v>5</v>
      </c>
      <c r="K65" t="s">
        <v>48</v>
      </c>
      <c r="L65">
        <v>11</v>
      </c>
      <c r="M65">
        <v>3</v>
      </c>
      <c r="N65">
        <f>YEAR(Table1[[#This Row],[Violation Date]])</f>
        <v>2023</v>
      </c>
    </row>
    <row r="66" spans="1:14" x14ac:dyDescent="0.2">
      <c r="A66" t="s">
        <v>103</v>
      </c>
      <c r="B66" t="s">
        <v>19</v>
      </c>
      <c r="C66" t="s">
        <v>29</v>
      </c>
      <c r="D66" s="1">
        <v>44982</v>
      </c>
      <c r="E66" t="s">
        <v>30</v>
      </c>
      <c r="F66" t="s">
        <v>72</v>
      </c>
      <c r="G66">
        <v>50</v>
      </c>
      <c r="H66">
        <v>3</v>
      </c>
      <c r="I66">
        <v>9</v>
      </c>
      <c r="J66">
        <v>3</v>
      </c>
      <c r="K66" t="s">
        <v>17</v>
      </c>
      <c r="L66">
        <v>15</v>
      </c>
      <c r="M66">
        <v>2</v>
      </c>
      <c r="N66">
        <f>YEAR(Table1[[#This Row],[Violation Date]])</f>
        <v>2023</v>
      </c>
    </row>
    <row r="67" spans="1:14" x14ac:dyDescent="0.2">
      <c r="A67" t="s">
        <v>104</v>
      </c>
      <c r="B67" t="s">
        <v>14</v>
      </c>
      <c r="C67" t="s">
        <v>25</v>
      </c>
      <c r="D67" s="1">
        <v>45481</v>
      </c>
      <c r="E67" t="s">
        <v>21</v>
      </c>
      <c r="F67">
        <v>19</v>
      </c>
      <c r="G67">
        <v>15</v>
      </c>
      <c r="H67">
        <v>2</v>
      </c>
      <c r="I67">
        <v>12</v>
      </c>
      <c r="J67">
        <v>7</v>
      </c>
      <c r="K67" t="s">
        <v>22</v>
      </c>
      <c r="L67">
        <v>17</v>
      </c>
      <c r="M67">
        <v>5</v>
      </c>
      <c r="N67">
        <f>YEAR(Table1[[#This Row],[Violation Date]])</f>
        <v>2024</v>
      </c>
    </row>
    <row r="68" spans="1:14" x14ac:dyDescent="0.2">
      <c r="A68" t="s">
        <v>105</v>
      </c>
      <c r="B68" t="s">
        <v>28</v>
      </c>
      <c r="C68" t="s">
        <v>20</v>
      </c>
      <c r="D68" s="1">
        <v>45056</v>
      </c>
      <c r="E68" t="s">
        <v>53</v>
      </c>
      <c r="F68">
        <v>14</v>
      </c>
      <c r="G68">
        <v>20</v>
      </c>
      <c r="H68">
        <v>2</v>
      </c>
      <c r="I68">
        <v>11</v>
      </c>
      <c r="J68">
        <v>6</v>
      </c>
      <c r="K68" t="s">
        <v>48</v>
      </c>
      <c r="L68">
        <v>12</v>
      </c>
      <c r="M68">
        <v>1</v>
      </c>
      <c r="N68">
        <f>YEAR(Table1[[#This Row],[Violation Date]])</f>
        <v>2023</v>
      </c>
    </row>
    <row r="69" spans="1:14" x14ac:dyDescent="0.2">
      <c r="A69" t="s">
        <v>106</v>
      </c>
      <c r="B69" t="s">
        <v>14</v>
      </c>
      <c r="C69" t="s">
        <v>15</v>
      </c>
      <c r="D69" s="1">
        <v>45178</v>
      </c>
      <c r="E69" t="s">
        <v>16</v>
      </c>
      <c r="F69">
        <v>18</v>
      </c>
      <c r="G69">
        <v>23</v>
      </c>
      <c r="H69">
        <v>2</v>
      </c>
      <c r="I69">
        <v>8</v>
      </c>
      <c r="J69">
        <v>7</v>
      </c>
      <c r="K69" t="s">
        <v>34</v>
      </c>
      <c r="L69">
        <v>13</v>
      </c>
      <c r="M69">
        <v>4</v>
      </c>
      <c r="N69">
        <f>YEAR(Table1[[#This Row],[Violation Date]])</f>
        <v>2023</v>
      </c>
    </row>
    <row r="70" spans="1:14" x14ac:dyDescent="0.2">
      <c r="A70" t="s">
        <v>107</v>
      </c>
      <c r="B70" t="s">
        <v>19</v>
      </c>
      <c r="C70" t="s">
        <v>36</v>
      </c>
      <c r="D70" s="1">
        <v>45363</v>
      </c>
      <c r="E70" t="s">
        <v>21</v>
      </c>
      <c r="F70">
        <v>15</v>
      </c>
      <c r="G70">
        <v>18</v>
      </c>
      <c r="H70">
        <v>2</v>
      </c>
      <c r="I70">
        <v>10</v>
      </c>
      <c r="J70">
        <v>5</v>
      </c>
      <c r="K70" t="s">
        <v>17</v>
      </c>
      <c r="L70">
        <v>18</v>
      </c>
      <c r="M70">
        <v>3</v>
      </c>
      <c r="N70">
        <f>YEAR(Table1[[#This Row],[Violation Date]])</f>
        <v>2024</v>
      </c>
    </row>
    <row r="71" spans="1:14" x14ac:dyDescent="0.2">
      <c r="A71" t="s">
        <v>108</v>
      </c>
      <c r="B71" t="s">
        <v>14</v>
      </c>
      <c r="C71" t="s">
        <v>25</v>
      </c>
      <c r="D71" s="1">
        <v>45263</v>
      </c>
      <c r="E71" t="s">
        <v>66</v>
      </c>
      <c r="F71">
        <v>17</v>
      </c>
      <c r="G71">
        <v>44</v>
      </c>
      <c r="H71">
        <v>2</v>
      </c>
      <c r="I71">
        <v>13</v>
      </c>
      <c r="J71">
        <v>5</v>
      </c>
      <c r="K71" t="s">
        <v>48</v>
      </c>
      <c r="L71">
        <v>20</v>
      </c>
      <c r="M71">
        <v>2</v>
      </c>
      <c r="N71">
        <f>YEAR(Table1[[#This Row],[Violation Date]])</f>
        <v>2023</v>
      </c>
    </row>
    <row r="72" spans="1:14" x14ac:dyDescent="0.2">
      <c r="A72" t="s">
        <v>109</v>
      </c>
      <c r="B72" t="s">
        <v>24</v>
      </c>
      <c r="C72" t="s">
        <v>29</v>
      </c>
      <c r="D72" s="1">
        <v>45370</v>
      </c>
      <c r="E72" t="s">
        <v>30</v>
      </c>
      <c r="F72" t="s">
        <v>31</v>
      </c>
      <c r="G72">
        <v>0</v>
      </c>
      <c r="H72">
        <v>2</v>
      </c>
      <c r="I72">
        <v>8</v>
      </c>
      <c r="J72">
        <v>6</v>
      </c>
      <c r="K72" t="s">
        <v>22</v>
      </c>
      <c r="L72">
        <v>12</v>
      </c>
      <c r="M72">
        <v>2</v>
      </c>
      <c r="N72">
        <f>YEAR(Table1[[#This Row],[Violation Date]])</f>
        <v>2024</v>
      </c>
    </row>
    <row r="73" spans="1:14" x14ac:dyDescent="0.2">
      <c r="A73" t="s">
        <v>110</v>
      </c>
      <c r="B73" t="s">
        <v>14</v>
      </c>
      <c r="C73" t="s">
        <v>25</v>
      </c>
      <c r="D73" s="1">
        <v>45118</v>
      </c>
      <c r="E73" t="s">
        <v>53</v>
      </c>
      <c r="F73">
        <v>15</v>
      </c>
      <c r="G73">
        <v>38</v>
      </c>
      <c r="H73">
        <v>5</v>
      </c>
      <c r="I73">
        <v>10</v>
      </c>
      <c r="J73">
        <v>4</v>
      </c>
      <c r="K73" t="s">
        <v>34</v>
      </c>
      <c r="L73">
        <v>18</v>
      </c>
      <c r="M73">
        <v>3</v>
      </c>
      <c r="N73">
        <f>YEAR(Table1[[#This Row],[Violation Date]])</f>
        <v>2023</v>
      </c>
    </row>
    <row r="74" spans="1:14" x14ac:dyDescent="0.2">
      <c r="A74" t="s">
        <v>111</v>
      </c>
      <c r="B74" t="s">
        <v>28</v>
      </c>
      <c r="C74" t="s">
        <v>36</v>
      </c>
      <c r="D74" s="1">
        <v>45617</v>
      </c>
      <c r="E74" t="s">
        <v>30</v>
      </c>
      <c r="F74">
        <v>18</v>
      </c>
      <c r="G74">
        <v>20</v>
      </c>
      <c r="H74">
        <v>2</v>
      </c>
      <c r="I74">
        <v>13</v>
      </c>
      <c r="J74">
        <v>5</v>
      </c>
      <c r="K74" t="s">
        <v>48</v>
      </c>
      <c r="L74">
        <v>17</v>
      </c>
      <c r="M74">
        <v>1</v>
      </c>
      <c r="N74">
        <f>YEAR(Table1[[#This Row],[Violation Date]])</f>
        <v>2024</v>
      </c>
    </row>
    <row r="75" spans="1:14" x14ac:dyDescent="0.2">
      <c r="A75" t="s">
        <v>112</v>
      </c>
      <c r="B75" t="s">
        <v>19</v>
      </c>
      <c r="C75" t="s">
        <v>45</v>
      </c>
      <c r="D75" s="1">
        <v>45282</v>
      </c>
      <c r="E75" t="s">
        <v>53</v>
      </c>
      <c r="F75">
        <v>19</v>
      </c>
      <c r="G75">
        <v>18</v>
      </c>
      <c r="H75">
        <v>1</v>
      </c>
      <c r="I75">
        <v>12</v>
      </c>
      <c r="J75">
        <v>6</v>
      </c>
      <c r="K75" t="s">
        <v>17</v>
      </c>
      <c r="L75">
        <v>15</v>
      </c>
      <c r="M75">
        <v>4</v>
      </c>
      <c r="N75">
        <f>YEAR(Table1[[#This Row],[Violation Date]])</f>
        <v>2023</v>
      </c>
    </row>
    <row r="76" spans="1:14" x14ac:dyDescent="0.2">
      <c r="A76" t="s">
        <v>113</v>
      </c>
      <c r="B76" t="s">
        <v>24</v>
      </c>
      <c r="C76" t="s">
        <v>15</v>
      </c>
      <c r="D76" s="1">
        <v>44942</v>
      </c>
      <c r="E76" t="s">
        <v>16</v>
      </c>
      <c r="F76">
        <v>12</v>
      </c>
      <c r="G76">
        <v>23</v>
      </c>
      <c r="H76">
        <v>2</v>
      </c>
      <c r="I76">
        <v>15</v>
      </c>
      <c r="J76">
        <v>4</v>
      </c>
      <c r="K76" t="s">
        <v>17</v>
      </c>
      <c r="L76">
        <v>14</v>
      </c>
      <c r="M76">
        <v>2</v>
      </c>
      <c r="N76">
        <f>YEAR(Table1[[#This Row],[Violation Date]])</f>
        <v>2023</v>
      </c>
    </row>
    <row r="77" spans="1:14" x14ac:dyDescent="0.2">
      <c r="A77" t="s">
        <v>114</v>
      </c>
      <c r="B77" t="s">
        <v>14</v>
      </c>
      <c r="C77" t="s">
        <v>20</v>
      </c>
      <c r="D77" s="1">
        <v>45487</v>
      </c>
      <c r="E77" t="s">
        <v>66</v>
      </c>
      <c r="F77">
        <v>16</v>
      </c>
      <c r="G77">
        <v>14</v>
      </c>
      <c r="H77">
        <v>2</v>
      </c>
      <c r="I77">
        <v>11</v>
      </c>
      <c r="J77">
        <v>8</v>
      </c>
      <c r="K77" t="s">
        <v>22</v>
      </c>
      <c r="L77">
        <v>19</v>
      </c>
      <c r="M77">
        <v>3</v>
      </c>
      <c r="N77">
        <f>YEAR(Table1[[#This Row],[Violation Date]])</f>
        <v>2024</v>
      </c>
    </row>
    <row r="78" spans="1:14" x14ac:dyDescent="0.2">
      <c r="A78" t="s">
        <v>115</v>
      </c>
      <c r="B78" t="s">
        <v>14</v>
      </c>
      <c r="C78" t="s">
        <v>29</v>
      </c>
      <c r="D78" s="1">
        <v>45253</v>
      </c>
      <c r="E78" t="s">
        <v>21</v>
      </c>
      <c r="F78" t="s">
        <v>39</v>
      </c>
      <c r="G78">
        <v>7.5</v>
      </c>
      <c r="H78">
        <v>2</v>
      </c>
      <c r="I78">
        <v>14</v>
      </c>
      <c r="J78">
        <v>7</v>
      </c>
      <c r="K78" t="s">
        <v>48</v>
      </c>
      <c r="L78">
        <v>16</v>
      </c>
      <c r="M78">
        <v>5</v>
      </c>
      <c r="N78">
        <f>YEAR(Table1[[#This Row],[Violation Date]])</f>
        <v>2023</v>
      </c>
    </row>
    <row r="79" spans="1:14" x14ac:dyDescent="0.2">
      <c r="A79" t="s">
        <v>116</v>
      </c>
      <c r="B79" t="s">
        <v>28</v>
      </c>
      <c r="C79" t="s">
        <v>36</v>
      </c>
      <c r="D79" s="1">
        <v>45094</v>
      </c>
      <c r="E79" t="s">
        <v>53</v>
      </c>
      <c r="F79">
        <v>17</v>
      </c>
      <c r="G79">
        <v>10</v>
      </c>
      <c r="H79">
        <v>3</v>
      </c>
      <c r="I79">
        <v>8</v>
      </c>
      <c r="J79">
        <v>5</v>
      </c>
      <c r="K79" t="s">
        <v>34</v>
      </c>
      <c r="L79">
        <v>13</v>
      </c>
      <c r="M79">
        <v>2</v>
      </c>
      <c r="N79">
        <f>YEAR(Table1[[#This Row],[Violation Date]])</f>
        <v>2023</v>
      </c>
    </row>
    <row r="80" spans="1:14" x14ac:dyDescent="0.2">
      <c r="A80" t="s">
        <v>117</v>
      </c>
      <c r="B80" t="s">
        <v>19</v>
      </c>
      <c r="C80" t="s">
        <v>25</v>
      </c>
      <c r="D80" s="1">
        <v>45587</v>
      </c>
      <c r="E80" t="s">
        <v>16</v>
      </c>
      <c r="F80">
        <v>19</v>
      </c>
      <c r="G80">
        <v>18</v>
      </c>
      <c r="H80">
        <v>2</v>
      </c>
      <c r="I80">
        <v>12</v>
      </c>
      <c r="J80">
        <v>9</v>
      </c>
      <c r="K80" t="s">
        <v>17</v>
      </c>
      <c r="L80">
        <v>20</v>
      </c>
      <c r="M80">
        <v>1</v>
      </c>
      <c r="N80">
        <f>YEAR(Table1[[#This Row],[Violation Date]])</f>
        <v>2024</v>
      </c>
    </row>
    <row r="81" spans="1:14" x14ac:dyDescent="0.2">
      <c r="A81" t="s">
        <v>118</v>
      </c>
      <c r="B81" t="s">
        <v>14</v>
      </c>
      <c r="C81" t="s">
        <v>45</v>
      </c>
      <c r="D81" s="1">
        <v>45071</v>
      </c>
      <c r="E81" t="s">
        <v>26</v>
      </c>
      <c r="F81">
        <v>18</v>
      </c>
      <c r="G81">
        <v>46</v>
      </c>
      <c r="H81">
        <v>2</v>
      </c>
      <c r="I81">
        <v>11</v>
      </c>
      <c r="J81">
        <v>6</v>
      </c>
      <c r="K81" t="s">
        <v>48</v>
      </c>
      <c r="L81">
        <v>17</v>
      </c>
      <c r="M81">
        <v>4</v>
      </c>
      <c r="N81">
        <f>YEAR(Table1[[#This Row],[Violation Date]])</f>
        <v>2023</v>
      </c>
    </row>
    <row r="82" spans="1:14" x14ac:dyDescent="0.2">
      <c r="A82" t="s">
        <v>119</v>
      </c>
      <c r="B82" t="s">
        <v>24</v>
      </c>
      <c r="C82" t="s">
        <v>29</v>
      </c>
      <c r="D82" s="1">
        <v>45004</v>
      </c>
      <c r="E82" t="s">
        <v>30</v>
      </c>
      <c r="F82" t="s">
        <v>54</v>
      </c>
      <c r="G82">
        <v>25</v>
      </c>
      <c r="H82">
        <v>3</v>
      </c>
      <c r="I82">
        <v>8</v>
      </c>
      <c r="J82">
        <v>6</v>
      </c>
      <c r="K82" t="s">
        <v>22</v>
      </c>
      <c r="L82">
        <v>12</v>
      </c>
      <c r="M82">
        <v>2</v>
      </c>
      <c r="N82">
        <f>YEAR(Table1[[#This Row],[Violation Date]])</f>
        <v>2023</v>
      </c>
    </row>
    <row r="83" spans="1:14" x14ac:dyDescent="0.2">
      <c r="A83" t="s">
        <v>120</v>
      </c>
      <c r="B83" t="s">
        <v>14</v>
      </c>
      <c r="C83" t="s">
        <v>25</v>
      </c>
      <c r="D83" s="1">
        <v>45118</v>
      </c>
      <c r="E83" t="s">
        <v>21</v>
      </c>
      <c r="F83">
        <v>15</v>
      </c>
      <c r="G83">
        <v>38</v>
      </c>
      <c r="H83">
        <v>2</v>
      </c>
      <c r="I83">
        <v>10</v>
      </c>
      <c r="J83">
        <v>4</v>
      </c>
      <c r="K83" t="s">
        <v>34</v>
      </c>
      <c r="L83">
        <v>18</v>
      </c>
      <c r="M83">
        <v>3</v>
      </c>
      <c r="N83">
        <f>YEAR(Table1[[#This Row],[Violation Date]])</f>
        <v>2023</v>
      </c>
    </row>
    <row r="84" spans="1:14" x14ac:dyDescent="0.2">
      <c r="A84" t="s">
        <v>121</v>
      </c>
      <c r="B84" t="s">
        <v>28</v>
      </c>
      <c r="C84" t="s">
        <v>36</v>
      </c>
      <c r="D84" s="1">
        <v>45550</v>
      </c>
      <c r="E84" t="s">
        <v>33</v>
      </c>
      <c r="F84">
        <v>18</v>
      </c>
      <c r="G84">
        <v>20</v>
      </c>
      <c r="H84">
        <v>2</v>
      </c>
      <c r="I84">
        <v>13</v>
      </c>
      <c r="J84">
        <v>5</v>
      </c>
      <c r="K84" t="s">
        <v>48</v>
      </c>
      <c r="L84">
        <v>17</v>
      </c>
      <c r="M84">
        <v>1</v>
      </c>
      <c r="N84">
        <f>YEAR(Table1[[#This Row],[Violation Date]])</f>
        <v>2024</v>
      </c>
    </row>
    <row r="85" spans="1:14" x14ac:dyDescent="0.2">
      <c r="A85" t="s">
        <v>122</v>
      </c>
      <c r="B85" t="s">
        <v>19</v>
      </c>
      <c r="C85" t="s">
        <v>45</v>
      </c>
      <c r="D85" s="1">
        <v>45648</v>
      </c>
      <c r="E85" t="s">
        <v>16</v>
      </c>
      <c r="F85">
        <v>19</v>
      </c>
      <c r="G85">
        <v>36</v>
      </c>
      <c r="H85">
        <v>2</v>
      </c>
      <c r="I85">
        <v>12</v>
      </c>
      <c r="J85">
        <v>6</v>
      </c>
      <c r="K85" t="s">
        <v>17</v>
      </c>
      <c r="L85">
        <v>15</v>
      </c>
      <c r="M85">
        <v>4</v>
      </c>
      <c r="N85">
        <f>YEAR(Table1[[#This Row],[Violation Date]])</f>
        <v>2024</v>
      </c>
    </row>
    <row r="86" spans="1:14" x14ac:dyDescent="0.2">
      <c r="A86" t="s">
        <v>123</v>
      </c>
      <c r="B86" t="s">
        <v>24</v>
      </c>
      <c r="C86" t="s">
        <v>15</v>
      </c>
      <c r="D86" s="1">
        <v>45309</v>
      </c>
      <c r="E86" t="s">
        <v>21</v>
      </c>
      <c r="F86">
        <v>12</v>
      </c>
      <c r="G86">
        <v>23</v>
      </c>
      <c r="H86">
        <v>2</v>
      </c>
      <c r="I86">
        <v>15</v>
      </c>
      <c r="J86">
        <v>4</v>
      </c>
      <c r="K86" t="s">
        <v>17</v>
      </c>
      <c r="L86">
        <v>14</v>
      </c>
      <c r="M86">
        <v>2</v>
      </c>
      <c r="N86">
        <f>YEAR(Table1[[#This Row],[Violation Date]])</f>
        <v>2024</v>
      </c>
    </row>
    <row r="87" spans="1:14" x14ac:dyDescent="0.2">
      <c r="A87" t="s">
        <v>124</v>
      </c>
      <c r="B87" t="s">
        <v>14</v>
      </c>
      <c r="C87" t="s">
        <v>20</v>
      </c>
      <c r="D87" s="1">
        <v>45121</v>
      </c>
      <c r="E87" t="s">
        <v>26</v>
      </c>
      <c r="F87">
        <v>16</v>
      </c>
      <c r="G87">
        <v>14</v>
      </c>
      <c r="H87">
        <v>2</v>
      </c>
      <c r="I87">
        <v>11</v>
      </c>
      <c r="J87">
        <v>8</v>
      </c>
      <c r="K87" t="s">
        <v>22</v>
      </c>
      <c r="L87">
        <v>19</v>
      </c>
      <c r="M87">
        <v>3</v>
      </c>
      <c r="N87">
        <f>YEAR(Table1[[#This Row],[Violation Date]])</f>
        <v>2023</v>
      </c>
    </row>
    <row r="88" spans="1:14" x14ac:dyDescent="0.2">
      <c r="A88" t="s">
        <v>125</v>
      </c>
      <c r="B88" t="s">
        <v>14</v>
      </c>
      <c r="C88" t="s">
        <v>29</v>
      </c>
      <c r="D88" s="1">
        <v>45283</v>
      </c>
      <c r="E88" t="s">
        <v>30</v>
      </c>
      <c r="F88" t="s">
        <v>57</v>
      </c>
      <c r="G88">
        <v>22.5</v>
      </c>
      <c r="H88">
        <v>2</v>
      </c>
      <c r="I88">
        <v>14</v>
      </c>
      <c r="J88">
        <v>7</v>
      </c>
      <c r="K88" t="s">
        <v>48</v>
      </c>
      <c r="L88">
        <v>16</v>
      </c>
      <c r="M88">
        <v>5</v>
      </c>
      <c r="N88">
        <f>YEAR(Table1[[#This Row],[Violation Date]])</f>
        <v>2023</v>
      </c>
    </row>
    <row r="89" spans="1:14" x14ac:dyDescent="0.2">
      <c r="A89" t="s">
        <v>126</v>
      </c>
      <c r="B89" t="s">
        <v>28</v>
      </c>
      <c r="C89" t="s">
        <v>36</v>
      </c>
      <c r="D89" s="1">
        <v>45460</v>
      </c>
      <c r="E89" t="s">
        <v>33</v>
      </c>
      <c r="F89">
        <v>17</v>
      </c>
      <c r="G89">
        <v>20</v>
      </c>
      <c r="H89">
        <v>2</v>
      </c>
      <c r="I89">
        <v>8</v>
      </c>
      <c r="J89">
        <v>5</v>
      </c>
      <c r="K89" t="s">
        <v>34</v>
      </c>
      <c r="L89">
        <v>13</v>
      </c>
      <c r="M89">
        <v>2</v>
      </c>
      <c r="N89">
        <f>YEAR(Table1[[#This Row],[Violation Date]])</f>
        <v>2024</v>
      </c>
    </row>
    <row r="90" spans="1:14" x14ac:dyDescent="0.2">
      <c r="A90" t="s">
        <v>127</v>
      </c>
      <c r="B90" t="s">
        <v>19</v>
      </c>
      <c r="C90" t="s">
        <v>25</v>
      </c>
      <c r="D90" s="1">
        <v>45592</v>
      </c>
      <c r="E90" t="s">
        <v>26</v>
      </c>
      <c r="F90">
        <v>19</v>
      </c>
      <c r="G90">
        <v>49</v>
      </c>
      <c r="H90">
        <v>2</v>
      </c>
      <c r="I90">
        <v>12</v>
      </c>
      <c r="J90">
        <v>9</v>
      </c>
      <c r="K90" t="s">
        <v>17</v>
      </c>
      <c r="L90">
        <v>20</v>
      </c>
      <c r="M90">
        <v>1</v>
      </c>
      <c r="N90">
        <f>YEAR(Table1[[#This Row],[Violation Date]])</f>
        <v>2024</v>
      </c>
    </row>
    <row r="91" spans="1:14" x14ac:dyDescent="0.2">
      <c r="A91" t="s">
        <v>128</v>
      </c>
      <c r="B91" t="s">
        <v>14</v>
      </c>
      <c r="C91" t="s">
        <v>45</v>
      </c>
      <c r="D91" s="1">
        <v>45051</v>
      </c>
      <c r="E91" t="s">
        <v>16</v>
      </c>
      <c r="F91">
        <v>18</v>
      </c>
      <c r="G91">
        <v>46</v>
      </c>
      <c r="H91">
        <v>2</v>
      </c>
      <c r="I91">
        <v>11</v>
      </c>
      <c r="J91">
        <v>6</v>
      </c>
      <c r="K91" t="s">
        <v>48</v>
      </c>
      <c r="L91">
        <v>17</v>
      </c>
      <c r="M91">
        <v>4</v>
      </c>
      <c r="N91">
        <f>YEAR(Table1[[#This Row],[Violation Date]])</f>
        <v>2023</v>
      </c>
    </row>
    <row r="92" spans="1:14" x14ac:dyDescent="0.2">
      <c r="A92" t="s">
        <v>129</v>
      </c>
      <c r="B92" t="s">
        <v>24</v>
      </c>
      <c r="C92" t="s">
        <v>29</v>
      </c>
      <c r="D92" s="1">
        <v>45360</v>
      </c>
      <c r="E92" t="s">
        <v>30</v>
      </c>
      <c r="F92" t="s">
        <v>72</v>
      </c>
      <c r="G92">
        <v>50</v>
      </c>
      <c r="H92">
        <v>2</v>
      </c>
      <c r="I92">
        <v>8</v>
      </c>
      <c r="J92">
        <v>6</v>
      </c>
      <c r="K92" t="s">
        <v>22</v>
      </c>
      <c r="L92">
        <v>12</v>
      </c>
      <c r="M92">
        <v>2</v>
      </c>
      <c r="N92">
        <f>YEAR(Table1[[#This Row],[Violation Date]])</f>
        <v>2024</v>
      </c>
    </row>
    <row r="93" spans="1:14" x14ac:dyDescent="0.2">
      <c r="A93" t="s">
        <v>130</v>
      </c>
      <c r="B93" t="s">
        <v>14</v>
      </c>
      <c r="C93" t="s">
        <v>25</v>
      </c>
      <c r="D93" s="1">
        <v>45484</v>
      </c>
      <c r="E93" t="s">
        <v>21</v>
      </c>
      <c r="F93">
        <v>15</v>
      </c>
      <c r="G93">
        <v>38</v>
      </c>
      <c r="H93">
        <v>2</v>
      </c>
      <c r="I93">
        <v>10</v>
      </c>
      <c r="J93">
        <v>4</v>
      </c>
      <c r="K93" t="s">
        <v>34</v>
      </c>
      <c r="L93">
        <v>18</v>
      </c>
      <c r="M93">
        <v>3</v>
      </c>
      <c r="N93">
        <f>YEAR(Table1[[#This Row],[Violation Date]])</f>
        <v>2024</v>
      </c>
    </row>
    <row r="94" spans="1:14" x14ac:dyDescent="0.2">
      <c r="A94" t="s">
        <v>131</v>
      </c>
      <c r="B94" t="s">
        <v>28</v>
      </c>
      <c r="C94" t="s">
        <v>36</v>
      </c>
      <c r="D94" s="1">
        <v>45181</v>
      </c>
      <c r="E94" t="s">
        <v>53</v>
      </c>
      <c r="F94">
        <v>18</v>
      </c>
      <c r="G94">
        <v>20</v>
      </c>
      <c r="H94">
        <v>6</v>
      </c>
      <c r="I94">
        <v>13</v>
      </c>
      <c r="J94">
        <v>5</v>
      </c>
      <c r="K94" t="s">
        <v>48</v>
      </c>
      <c r="L94">
        <v>17</v>
      </c>
      <c r="M94">
        <v>1</v>
      </c>
      <c r="N94">
        <f>YEAR(Table1[[#This Row],[Violation Date]])</f>
        <v>2023</v>
      </c>
    </row>
    <row r="95" spans="1:14" x14ac:dyDescent="0.2">
      <c r="A95" t="s">
        <v>132</v>
      </c>
      <c r="B95" t="s">
        <v>19</v>
      </c>
      <c r="C95" t="s">
        <v>45</v>
      </c>
      <c r="D95" s="1">
        <v>45647</v>
      </c>
      <c r="E95" t="s">
        <v>16</v>
      </c>
      <c r="F95">
        <v>19</v>
      </c>
      <c r="G95">
        <v>36</v>
      </c>
      <c r="H95">
        <v>2</v>
      </c>
      <c r="I95">
        <v>12</v>
      </c>
      <c r="J95">
        <v>6</v>
      </c>
      <c r="K95" t="s">
        <v>17</v>
      </c>
      <c r="L95">
        <v>15</v>
      </c>
      <c r="M95">
        <v>4</v>
      </c>
      <c r="N95">
        <f>YEAR(Table1[[#This Row],[Violation Date]])</f>
        <v>2024</v>
      </c>
    </row>
    <row r="96" spans="1:14" x14ac:dyDescent="0.2">
      <c r="A96" t="s">
        <v>133</v>
      </c>
      <c r="B96" t="s">
        <v>24</v>
      </c>
      <c r="C96" t="s">
        <v>15</v>
      </c>
      <c r="D96" s="1">
        <v>45307</v>
      </c>
      <c r="E96" t="s">
        <v>30</v>
      </c>
      <c r="F96">
        <v>12</v>
      </c>
      <c r="G96">
        <v>23</v>
      </c>
      <c r="H96">
        <v>2</v>
      </c>
      <c r="I96">
        <v>15</v>
      </c>
      <c r="J96">
        <v>4</v>
      </c>
      <c r="K96" t="s">
        <v>17</v>
      </c>
      <c r="L96">
        <v>14</v>
      </c>
      <c r="M96">
        <v>2</v>
      </c>
      <c r="N96">
        <f>YEAR(Table1[[#This Row],[Violation Date]])</f>
        <v>2024</v>
      </c>
    </row>
    <row r="97" spans="1:14" x14ac:dyDescent="0.2">
      <c r="A97" t="s">
        <v>134</v>
      </c>
      <c r="B97" t="s">
        <v>14</v>
      </c>
      <c r="C97" t="s">
        <v>20</v>
      </c>
      <c r="D97" s="1">
        <v>45111</v>
      </c>
      <c r="E97" t="s">
        <v>21</v>
      </c>
      <c r="F97">
        <v>16</v>
      </c>
      <c r="G97">
        <v>44</v>
      </c>
      <c r="H97">
        <v>2</v>
      </c>
      <c r="I97">
        <v>11</v>
      </c>
      <c r="J97">
        <v>8</v>
      </c>
      <c r="K97" t="s">
        <v>22</v>
      </c>
      <c r="L97">
        <v>19</v>
      </c>
      <c r="M97">
        <v>3</v>
      </c>
      <c r="N97">
        <f>YEAR(Table1[[#This Row],[Violation Date]])</f>
        <v>2023</v>
      </c>
    </row>
    <row r="98" spans="1:14" x14ac:dyDescent="0.2">
      <c r="A98" t="s">
        <v>135</v>
      </c>
      <c r="B98" t="s">
        <v>14</v>
      </c>
      <c r="C98" t="s">
        <v>29</v>
      </c>
      <c r="D98" s="1">
        <v>45254</v>
      </c>
      <c r="E98" t="s">
        <v>26</v>
      </c>
      <c r="F98" t="s">
        <v>54</v>
      </c>
      <c r="G98">
        <v>5</v>
      </c>
      <c r="H98">
        <v>2</v>
      </c>
      <c r="I98">
        <v>14</v>
      </c>
      <c r="J98">
        <v>7</v>
      </c>
      <c r="K98" t="s">
        <v>48</v>
      </c>
      <c r="L98">
        <v>16</v>
      </c>
      <c r="M98">
        <v>5</v>
      </c>
      <c r="N98">
        <f>YEAR(Table1[[#This Row],[Violation Date]])</f>
        <v>2023</v>
      </c>
    </row>
    <row r="99" spans="1:14" x14ac:dyDescent="0.2">
      <c r="A99" t="s">
        <v>136</v>
      </c>
      <c r="B99" t="s">
        <v>28</v>
      </c>
      <c r="C99" t="s">
        <v>36</v>
      </c>
      <c r="D99" s="1">
        <v>45084</v>
      </c>
      <c r="E99" t="s">
        <v>53</v>
      </c>
      <c r="F99">
        <v>17</v>
      </c>
      <c r="G99">
        <v>11</v>
      </c>
      <c r="H99">
        <v>5</v>
      </c>
      <c r="I99">
        <v>8</v>
      </c>
      <c r="J99">
        <v>5</v>
      </c>
      <c r="K99" t="s">
        <v>34</v>
      </c>
      <c r="L99">
        <v>13</v>
      </c>
      <c r="M99">
        <v>2</v>
      </c>
      <c r="N99">
        <f>YEAR(Table1[[#This Row],[Violation Date]])</f>
        <v>2023</v>
      </c>
    </row>
    <row r="100" spans="1:14" x14ac:dyDescent="0.2">
      <c r="A100" t="s">
        <v>137</v>
      </c>
      <c r="B100" t="s">
        <v>19</v>
      </c>
      <c r="C100" t="s">
        <v>25</v>
      </c>
      <c r="D100" s="1">
        <v>45227</v>
      </c>
      <c r="E100" t="s">
        <v>16</v>
      </c>
      <c r="F100">
        <v>19</v>
      </c>
      <c r="G100">
        <v>49</v>
      </c>
      <c r="H100">
        <v>10</v>
      </c>
      <c r="I100">
        <v>12</v>
      </c>
      <c r="J100">
        <v>9</v>
      </c>
      <c r="K100" t="s">
        <v>17</v>
      </c>
      <c r="L100">
        <v>20</v>
      </c>
      <c r="M100">
        <v>1</v>
      </c>
      <c r="N100">
        <f>YEAR(Table1[[#This Row],[Violation Date]])</f>
        <v>2023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chioma</cp:lastModifiedBy>
  <dcterms:created xsi:type="dcterms:W3CDTF">2025-02-26T13:04:02Z</dcterms:created>
  <dcterms:modified xsi:type="dcterms:W3CDTF">2026-06-08T15:16:13Z</dcterms:modified>
</cp:coreProperties>
</file>